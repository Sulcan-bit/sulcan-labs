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lcan Corp\OilBlending\Pricing Data\"/>
    </mc:Choice>
  </mc:AlternateContent>
  <xr:revisionPtr revIDLastSave="0" documentId="8_{56A7AD77-13BE-412C-AA7B-65CA5A507DB4}" xr6:coauthVersionLast="47" xr6:coauthVersionMax="47" xr10:uidLastSave="{00000000-0000-0000-0000-000000000000}"/>
  <bookViews>
    <workbookView xWindow="28680" yWindow="-120" windowWidth="29040" windowHeight="15840" firstSheet="5" activeTab="9" xr2:uid="{72582B54-EA0B-4A1A-BD58-4232C312DE02}"/>
  </bookViews>
  <sheets>
    <sheet name="Inputs" sheetId="24" r:id="rId1"/>
    <sheet name="Spur-Netback" sheetId="13" r:id="rId2"/>
    <sheet name="NipNorthTT Novacor Rainbow" sheetId="17" r:id="rId3"/>
    <sheet name="UtikuNorthTT DilFee Nipisi" sheetId="28" r:id="rId4"/>
    <sheet name="UtikuSouthTT DilFee Nipisi" sheetId="16" r:id="rId5"/>
    <sheet name="KingMH-Plains Novacor Rainbow" sheetId="27" r:id="rId6"/>
    <sheet name="KINGMitsueTT Dil Fee Nipisi" sheetId="25" r:id="rId7"/>
    <sheet name="Gibsons Novacor Edm" sheetId="20" r:id="rId8"/>
    <sheet name="FlintHills Novacor Hardisty" sheetId="26" r:id="rId9"/>
    <sheet name="MonthlyData" sheetId="1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123Graph_B" localSheetId="8" hidden="1">[1]EDMSWEET!#REF!</definedName>
    <definedName name="__123Graph_B" localSheetId="7" hidden="1">[1]EDMSWEET!#REF!</definedName>
    <definedName name="__123Graph_B" localSheetId="5" hidden="1">[1]EDMSWEET!#REF!</definedName>
    <definedName name="__123Graph_B" localSheetId="6" hidden="1">[1]EDMSWEET!#REF!</definedName>
    <definedName name="__123Graph_B" localSheetId="2" hidden="1">[1]EDMSWEET!#REF!</definedName>
    <definedName name="__123Graph_B" localSheetId="3" hidden="1">[1]EDMSWEET!#REF!</definedName>
    <definedName name="__123Graph_B" localSheetId="4" hidden="1">[1]EDMSWEET!#REF!</definedName>
    <definedName name="__123Graph_B" hidden="1">[1]EDMSWEET!#REF!</definedName>
    <definedName name="__123Graph_BEDMSWT" localSheetId="8" hidden="1">[1]EDMSWEET!#REF!</definedName>
    <definedName name="__123Graph_BEDMSWT" localSheetId="7" hidden="1">[1]EDMSWEET!#REF!</definedName>
    <definedName name="__123Graph_BEDMSWT" localSheetId="5" hidden="1">[1]EDMSWEET!#REF!</definedName>
    <definedName name="__123Graph_BEDMSWT" localSheetId="6" hidden="1">[1]EDMSWEET!#REF!</definedName>
    <definedName name="__123Graph_BEDMSWT" localSheetId="2" hidden="1">[1]EDMSWEET!#REF!</definedName>
    <definedName name="__123Graph_BEDMSWT" localSheetId="3" hidden="1">[1]EDMSWEET!#REF!</definedName>
    <definedName name="__123Graph_BEDMSWT" localSheetId="4" hidden="1">[1]EDMSWEET!#REF!</definedName>
    <definedName name="__123Graph_BEDMSWT" hidden="1">[1]EDMSWEET!#REF!</definedName>
    <definedName name="__123Graph_C" localSheetId="8" hidden="1">[1]EDMSWEET!#REF!</definedName>
    <definedName name="__123Graph_C" localSheetId="7" hidden="1">[1]EDMSWEET!#REF!</definedName>
    <definedName name="__123Graph_C" localSheetId="5" hidden="1">[1]EDMSWEET!#REF!</definedName>
    <definedName name="__123Graph_C" localSheetId="6" hidden="1">[1]EDMSWEET!#REF!</definedName>
    <definedName name="__123Graph_C" localSheetId="2" hidden="1">[1]EDMSWEET!#REF!</definedName>
    <definedName name="__123Graph_C" localSheetId="3" hidden="1">[1]EDMSWEET!#REF!</definedName>
    <definedName name="__123Graph_C" localSheetId="4" hidden="1">[1]EDMSWEET!#REF!</definedName>
    <definedName name="__123Graph_C" hidden="1">[1]EDMSWEET!#REF!</definedName>
    <definedName name="__123Graph_CEDMSWT" localSheetId="8" hidden="1">[1]EDMSWEET!#REF!</definedName>
    <definedName name="__123Graph_CEDMSWT" localSheetId="7" hidden="1">[1]EDMSWEET!#REF!</definedName>
    <definedName name="__123Graph_CEDMSWT" localSheetId="5" hidden="1">[1]EDMSWEET!#REF!</definedName>
    <definedName name="__123Graph_CEDMSWT" localSheetId="6" hidden="1">[1]EDMSWEET!#REF!</definedName>
    <definedName name="__123Graph_CEDMSWT" localSheetId="2" hidden="1">[1]EDMSWEET!#REF!</definedName>
    <definedName name="__123Graph_CEDMSWT" localSheetId="3" hidden="1">[1]EDMSWEET!#REF!</definedName>
    <definedName name="__123Graph_CEDMSWT" localSheetId="4" hidden="1">[1]EDMSWEET!#REF!</definedName>
    <definedName name="__123Graph_CEDMSWT" hidden="1">[1]EDMSWEET!#REF!</definedName>
    <definedName name="__123Graph_D" localSheetId="8" hidden="1">[1]EDMSWEET!#REF!</definedName>
    <definedName name="__123Graph_D" localSheetId="7" hidden="1">[1]EDMSWEET!#REF!</definedName>
    <definedName name="__123Graph_D" localSheetId="5" hidden="1">[1]EDMSWEET!#REF!</definedName>
    <definedName name="__123Graph_D" localSheetId="6" hidden="1">[1]EDMSWEET!#REF!</definedName>
    <definedName name="__123Graph_D" localSheetId="2" hidden="1">[1]EDMSWEET!#REF!</definedName>
    <definedName name="__123Graph_D" localSheetId="3" hidden="1">[1]EDMSWEET!#REF!</definedName>
    <definedName name="__123Graph_D" localSheetId="4" hidden="1">[1]EDMSWEET!#REF!</definedName>
    <definedName name="__123Graph_D" hidden="1">[1]EDMSWEET!#REF!</definedName>
    <definedName name="__123Graph_DEDMSWT" localSheetId="8" hidden="1">[1]EDMSWEET!#REF!</definedName>
    <definedName name="__123Graph_DEDMSWT" localSheetId="7" hidden="1">[1]EDMSWEET!#REF!</definedName>
    <definedName name="__123Graph_DEDMSWT" localSheetId="5" hidden="1">[1]EDMSWEET!#REF!</definedName>
    <definedName name="__123Graph_DEDMSWT" localSheetId="6" hidden="1">[1]EDMSWEET!#REF!</definedName>
    <definedName name="__123Graph_DEDMSWT" localSheetId="2" hidden="1">[1]EDMSWEET!#REF!</definedName>
    <definedName name="__123Graph_DEDMSWT" localSheetId="3" hidden="1">[1]EDMSWEET!#REF!</definedName>
    <definedName name="__123Graph_DEDMSWT" localSheetId="4" hidden="1">[1]EDMSWEET!#REF!</definedName>
    <definedName name="__123Graph_DEDMSWT" hidden="1">[1]EDMSWEET!#REF!</definedName>
    <definedName name="__123Graph_X" localSheetId="8" hidden="1">[1]EDMSWEET!#REF!</definedName>
    <definedName name="__123Graph_X" localSheetId="7" hidden="1">[1]EDMSWEET!#REF!</definedName>
    <definedName name="__123Graph_X" localSheetId="5" hidden="1">[1]EDMSWEET!#REF!</definedName>
    <definedName name="__123Graph_X" localSheetId="6" hidden="1">[1]EDMSWEET!#REF!</definedName>
    <definedName name="__123Graph_X" localSheetId="2" hidden="1">[1]EDMSWEET!#REF!</definedName>
    <definedName name="__123Graph_X" localSheetId="3" hidden="1">[1]EDMSWEET!#REF!</definedName>
    <definedName name="__123Graph_X" localSheetId="4" hidden="1">[1]EDMSWEET!#REF!</definedName>
    <definedName name="__123Graph_X" hidden="1">[1]EDMSWEET!#REF!</definedName>
    <definedName name="__123Graph_XEDMSWT" localSheetId="8" hidden="1">[1]EDMSWEET!#REF!</definedName>
    <definedName name="__123Graph_XEDMSWT" localSheetId="7" hidden="1">[1]EDMSWEET!#REF!</definedName>
    <definedName name="__123Graph_XEDMSWT" localSheetId="5" hidden="1">[1]EDMSWEET!#REF!</definedName>
    <definedName name="__123Graph_XEDMSWT" localSheetId="6" hidden="1">[1]EDMSWEET!#REF!</definedName>
    <definedName name="__123Graph_XEDMSWT" localSheetId="2" hidden="1">[1]EDMSWEET!#REF!</definedName>
    <definedName name="__123Graph_XEDMSWT" localSheetId="3" hidden="1">[1]EDMSWEET!#REF!</definedName>
    <definedName name="__123Graph_XEDMSWT" localSheetId="4" hidden="1">[1]EDMSWEET!#REF!</definedName>
    <definedName name="__123Graph_XEDMSWT" hidden="1">[1]EDMSWEET!#REF!</definedName>
    <definedName name="_124Graph_X" localSheetId="8" hidden="1">[1]EDMSWEET!#REF!</definedName>
    <definedName name="_124Graph_X" localSheetId="7" hidden="1">[1]EDMSWEET!#REF!</definedName>
    <definedName name="_124Graph_X" localSheetId="5" hidden="1">[1]EDMSWEET!#REF!</definedName>
    <definedName name="_124Graph_X" localSheetId="6" hidden="1">[1]EDMSWEET!#REF!</definedName>
    <definedName name="_124Graph_X" localSheetId="2" hidden="1">[1]EDMSWEET!#REF!</definedName>
    <definedName name="_124Graph_X" localSheetId="3" hidden="1">[1]EDMSWEET!#REF!</definedName>
    <definedName name="_124Graph_X" localSheetId="4" hidden="1">[1]EDMSWEET!#REF!</definedName>
    <definedName name="_124Graph_X" hidden="1">[1]EDMSWEET!#REF!</definedName>
    <definedName name="_bdm.0a561cb6a8c747c292a1d73c6ae17b64.edm" hidden="1">#REF!</definedName>
    <definedName name="_Order1" hidden="1">255</definedName>
    <definedName name="B.E">#REF!</definedName>
    <definedName name="B_Capex__Infrastructure">[2]Assumptions!$Q$19</definedName>
    <definedName name="B_Capping_Cost_per_tonne">[2]Assumptions!$T$19</definedName>
    <definedName name="B_Cell_Cost">[2]Assumptions!$S$19</definedName>
    <definedName name="B_Change_in_Working_Capital">[2]DCF!$E$269:$U$269</definedName>
    <definedName name="B_Construction_start_date">[2]Assumptions!$F$19</definedName>
    <definedName name="B_Depletion_Charge">[2]DCF!$E$165:$U$165</definedName>
    <definedName name="B_End_of_Life_Cost">[2]Assumptions!$Z$19</definedName>
    <definedName name="B_Fixed_Opex">[2]Assumptions!$P$19</definedName>
    <definedName name="B_Leachate_Logistics_and_Freight_Cost">[2]Assumptions!$W$19</definedName>
    <definedName name="B_Market_Share_in_Silverberry_Closes_Scenario">[2]Assumptions!$K$19</definedName>
    <definedName name="B_Market_Share_with_Competition">[2]Assumptions!$J$19</definedName>
    <definedName name="B_Market_share_without_Competition">[2]Assumptions!$I$19</definedName>
    <definedName name="B_Max_Throughput">[2]DCF!$E$127:$U$127</definedName>
    <definedName name="B_Op_days_before_Competition">[2]Assumptions!$U$19</definedName>
    <definedName name="B_Op_days_with_Competition">[2]Assumptions!$V$19</definedName>
    <definedName name="B_Opex_Costs">[2]DCF!$E$360:$U$360</definedName>
    <definedName name="B_Rate___Increase_in_Silverberry_Close_Scenario___No_Competition">[2]Assumptions!$O$19</definedName>
    <definedName name="B_Rate___Increase_in_Silverberry_Close_Scenario_Competition">[2]Assumptions!$N$19</definedName>
    <definedName name="B_Rate___Increase_with_Competition">[2]Assumptions!$M$19</definedName>
    <definedName name="B_Rate___Increase_without_Competition">[2]Assumptions!$L$19</definedName>
    <definedName name="B_Remediation">[2]Assumptions!$Y$19</definedName>
    <definedName name="B_Remediation_Year">[2]Assumptions!$X$19</definedName>
    <definedName name="B_Total_Waste_Revenue">[2]DCF!$E$255:$U$255</definedName>
    <definedName name="base">[3]Model!#REF!</definedName>
    <definedName name="BASE_CONDENSATE_VOLUME">'[4]C5+'!$C$17</definedName>
    <definedName name="BASE_SW_VOLUME">[4]SW!$E$17</definedName>
    <definedName name="basediff">[3]Assumptions!#REF!</definedName>
    <definedName name="basefreight">[3]Assumptions!#REF!</definedName>
    <definedName name="basesales">[3]Assumptions!#REF!</definedName>
    <definedName name="basis">[3]Assumptions!#REF!</definedName>
    <definedName name="BlackPEARLHeavyOil">'[5]BLEND MODEL'!$D$22</definedName>
    <definedName name="BlackSPURHeavyOil">'[5]BLEND MODEL'!#REF!</definedName>
    <definedName name="BlendDensity">'[5]BLEND MODEL'!$I$40</definedName>
    <definedName name="BlendSulphurPercent">'[5]BLEND MODEL'!$I$41</definedName>
    <definedName name="BOY">'[6]Inputs &amp; Assumptions'!#REF!</definedName>
    <definedName name="brown">[3]Model!#REF!</definedName>
    <definedName name="browndiff">[3]Assumptions!#REF!</definedName>
    <definedName name="brownfreight">[3]Assumptions!#REF!</definedName>
    <definedName name="BrownIRR">[3]DCF!#REF!</definedName>
    <definedName name="brownprod">[3]Model!$A$10:$IV$10,[3]Model!#REF!</definedName>
    <definedName name="brownsales">[3]Assumptions!#REF!</definedName>
    <definedName name="Budget">[7]Input!$B$11</definedName>
    <definedName name="ButaneInjected">'[5]BLEND MODEL'!$H$22</definedName>
    <definedName name="Calendar_Year">'[2]Fixed Assumptions'!$E$1:$AF$1</definedName>
    <definedName name="capex">[8]Assumptions!$C$29</definedName>
    <definedName name="Capex_Type">[9]Tables!$B$4:$B$17</definedName>
    <definedName name="case">[3]Model!#REF!</definedName>
    <definedName name="Current_Forecast">[10]Inputs!$B$3</definedName>
    <definedName name="Current_Period">[7]Input!$B$5</definedName>
    <definedName name="Current_QTD">[10]Inputs!$B$9</definedName>
    <definedName name="Current_YTD">[7]Input!$B$7</definedName>
    <definedName name="days">[8]Assumptions!$C$5</definedName>
    <definedName name="DCFIRR">[3]DCF!$F$34</definedName>
    <definedName name="DEEMED_BUTANE">'[4]C5+'!$K$40</definedName>
    <definedName name="Depre">[8]Assumptions!$C$7</definedName>
    <definedName name="deptid">'[11]Inputs &amp; Assumptions'!$B$4</definedName>
    <definedName name="Discount_Factor">'[2]Fixed Assumptions'!$E$4:$AF$4</definedName>
    <definedName name="discount_rate">#REF!</definedName>
    <definedName name="Division">[9]Tables!$H$4:$H$15</definedName>
    <definedName name="Does_Silverberry_Close?">[2]Assumptions!$H$19</definedName>
    <definedName name="EstimatedShrinkageCost">'[5]BLEND MODEL'!$B$52</definedName>
    <definedName name="execution">[3]Model!#REF!</definedName>
    <definedName name="First_period">#REF!</definedName>
    <definedName name="Forecast_Period">[12]Inputs!$B$3</definedName>
    <definedName name="ForecastPeriod">#REF!</definedName>
    <definedName name="GF">[3]Model!#REF!</definedName>
    <definedName name="gov">#REF!</definedName>
    <definedName name="green">[3]Model!#REF!</definedName>
    <definedName name="greendiff">[3]Assumptions!#REF!</definedName>
    <definedName name="greenfreight">[3]Assumptions!#REF!</definedName>
    <definedName name="greensales">[3]Assumptions!#REF!</definedName>
    <definedName name="GrossBlendRevenue">'[5]BLEND MODEL'!$B$51</definedName>
    <definedName name="Growth_Sustaining">[9]Tables!$D$4:$D$5</definedName>
    <definedName name="h" localSheetId="8" hidden="1">[1]EDMSWEET!#REF!</definedName>
    <definedName name="h" localSheetId="7" hidden="1">[1]EDMSWEET!#REF!</definedName>
    <definedName name="h" localSheetId="5" hidden="1">[1]EDMSWEET!#REF!</definedName>
    <definedName name="h" localSheetId="6" hidden="1">[1]EDMSWEET!#REF!</definedName>
    <definedName name="h" localSheetId="2" hidden="1">[1]EDMSWEET!#REF!</definedName>
    <definedName name="h" localSheetId="3" hidden="1">[1]EDMSWEET!#REF!</definedName>
    <definedName name="h" localSheetId="4" hidden="1">[1]EDMSWEET!#REF!</definedName>
    <definedName name="h" hidden="1">[1]EDMSWEET!#REF!</definedName>
    <definedName name="Include_Tax?">[2]Assumptions!$AJ$19</definedName>
    <definedName name="Increase_from_Baseline">[2]Assumptions!$AC$19</definedName>
    <definedName name="inflation">#REF!</definedName>
    <definedName name="Inflation_Factor">'[2]Fixed Assumptions'!$E$7:$AF$7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[3]DCF!#REF!</definedName>
    <definedName name="Is_the_first_cell_250000T?">[2]Assumptions!$R$19</definedName>
    <definedName name="K2O">[3]Model!$B$423</definedName>
    <definedName name="kmt">[3]Assumptions!#REF!</definedName>
    <definedName name="LF_Analysis">'[6]Inputs &amp; Assumptions'!#REF!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bops">[3]Model!#REF!</definedName>
    <definedName name="Month">[12]Inputs!$B$1</definedName>
    <definedName name="name">[8]Title!$C$13</definedName>
    <definedName name="NetBlendingRevenue">'[5]BLEND MODEL'!$B$53</definedName>
    <definedName name="NvsASD">"V2013-01-31"</definedName>
    <definedName name="NvsAutoDrillOk">"VN"</definedName>
    <definedName name="NvsElapsedTime">0.000694444446708076</definedName>
    <definedName name="NvsEndTime">41331.5419328704</definedName>
    <definedName name="NvsInstLang">"VENG"</definedName>
    <definedName name="NvsInstSpec">"%,FDEPTID,TDEPARTMENTS,NLANDFILLS_SRV_LN"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"%,X,RZF..G,CZF.."</definedName>
    <definedName name="NvsPanelBusUnit">"V"</definedName>
    <definedName name="NvsPanelEffdt">"V2012-01-12"</definedName>
    <definedName name="NvsPanelSetid">"VSHARE"</definedName>
    <definedName name="NvsReqBU">"V800"</definedName>
    <definedName name="NvsReqBUOnly">"VY"</definedName>
    <definedName name="NvsTransLed">"VN"</definedName>
    <definedName name="NvsTreeASD">"V2013-01-31"</definedName>
    <definedName name="NvsValTbl.ACCOUNT">"GL_ACCOUNT_TBL"</definedName>
    <definedName name="ObsidianCrude">'[5]BLEND MODEL'!$F$22</definedName>
    <definedName name="ObsidianSealHvy">'[5]BLEND MODEL'!$E$22</definedName>
    <definedName name="Offset_Month">[12]Inputs!$B$6</definedName>
    <definedName name="PED" comment="Period">[13]Jan13IncStmt!$AK$2</definedName>
    <definedName name="Period">[12]Inputs!$B$10</definedName>
    <definedName name="price">[3]Model!$B$5</definedName>
    <definedName name="PRICE_LEVER">#REF!</definedName>
    <definedName name="Prior_Forecast">[7]Input!$B$4</definedName>
    <definedName name="Prior_Period">[14]Input!$B$6</definedName>
    <definedName name="Prior_QTD">[10]Inputs!$B$10</definedName>
    <definedName name="Prior_Year">[10]Inputs!$B$6</definedName>
    <definedName name="Prior_YTD">[7]Input!$B$8</definedName>
    <definedName name="ProformaArea">#REF!</definedName>
    <definedName name="ProformaExpenseType">#REF!</definedName>
    <definedName name="ProformaFacility">#REF!</definedName>
    <definedName name="ProformaGrouping">#REF!</definedName>
    <definedName name="ProformaRegion">#REF!</definedName>
    <definedName name="PY_Period">[12]Inputs!$B$12</definedName>
    <definedName name="reduce">#REF!</definedName>
    <definedName name="Ref">[10]Inputs!$M$16</definedName>
    <definedName name="ReportedColumns">#REF!</definedName>
    <definedName name="Richann" localSheetId="8" hidden="1">{"Sales Summary",#N/A,FALSE,"SALES SUMMARY"}</definedName>
    <definedName name="Richann" localSheetId="7" hidden="1">{"Sales Summary",#N/A,FALSE,"SALES SUMMARY"}</definedName>
    <definedName name="Richann" localSheetId="5" hidden="1">{"Sales Summary",#N/A,FALSE,"SALES SUMMARY"}</definedName>
    <definedName name="Richann" localSheetId="6" hidden="1">{"Sales Summary",#N/A,FALSE,"SALES SUMMARY"}</definedName>
    <definedName name="Richann" localSheetId="2" hidden="1">{"Sales Summary",#N/A,FALSE,"SALES SUMMARY"}</definedName>
    <definedName name="Richann" localSheetId="3" hidden="1">{"Sales Summary",#N/A,FALSE,"SALES SUMMARY"}</definedName>
    <definedName name="Richann" localSheetId="4" hidden="1">{"Sales Summary",#N/A,FALSE,"SALES SUMMARY"}</definedName>
    <definedName name="Richann" hidden="1">{"Sales Summary",#N/A,FALSE,"SALES SUMMARY"}</definedName>
    <definedName name="sales">[3]Assumptions!#REF!</definedName>
    <definedName name="SAPBEXrevision" hidden="1">1</definedName>
    <definedName name="SAPBEXsysID" hidden="1">"BWP"</definedName>
    <definedName name="SAPBEXwbID" hidden="1">"47J29PAGRSF1S901P0TJMEH6Y"</definedName>
    <definedName name="SB_Capex">[2]Assumptions!$AK$19</definedName>
    <definedName name="SB_Capping_Cost">[2]Assumptions!$AL$19</definedName>
    <definedName name="SB_Capping_Cost_per_tonne">[2]Assumptions!$AO$19</definedName>
    <definedName name="SB_Cell_Construction_Cost">[2]DCF!$E$457:$U$457</definedName>
    <definedName name="SB_Cell_Construction_Cost_per_tonne">[2]Assumptions!$AN$19</definedName>
    <definedName name="SB_Cell_Size">[2]Assumptions!$AM$19</definedName>
    <definedName name="SB_Change_in_Working_Capital">[2]DCF!$E$632:$U$632</definedName>
    <definedName name="SB_Depletion_Charge">[2]DCF!$E$659:$U$659</definedName>
    <definedName name="SB_End_of_Life_Cost">[2]Assumptions!$AQ$19</definedName>
    <definedName name="SB_Fixed_Opex">[2]Assumptions!$AI$19</definedName>
    <definedName name="SB_Govt_Waste_Fee">[2]Assumptions!$AP$19</definedName>
    <definedName name="SB_Market_Share_with_Competitor_Landfill">[2]Assumptions!$AE$19</definedName>
    <definedName name="SB_Market_Share_with_Second_Tervita_Landfill">[2]Assumptions!$AD$19</definedName>
    <definedName name="SB_Max_Throughput">[2]DCF!$E$456:$U$456</definedName>
    <definedName name="SB_Op_days_before_any_other_landfill">[2]Assumptions!#REF!</definedName>
    <definedName name="SB_Rate___Increase_with_Competitor_Landfill">[2]Assumptions!$AG$19</definedName>
    <definedName name="SB_Rate___Increase_with_No_Other_Landfill">[2]Assumptions!$AH$19</definedName>
    <definedName name="SB_Rate___Increase_with_Second_Tervita_Landfill">[2]Assumptions!$AF$19</definedName>
    <definedName name="SB_Total_Capping_Cost">[2]DCF!$E$678:$U$678</definedName>
    <definedName name="SB_Total_Opex">[2]DCF!$E$745:$U$745</definedName>
    <definedName name="SB_Total_Waste_Revenue">[2]DCF!$E$618:$U$618</definedName>
    <definedName name="SB_Year_Competition_starts">[2]Assumptions!$G$19</definedName>
    <definedName name="scenario">[3]Model!$B$3</definedName>
    <definedName name="shield">[3]Model!$L$5</definedName>
    <definedName name="skops">[3]Model!#REF!</definedName>
    <definedName name="solver_adj" localSheetId="8" hidden="1">#REF!,#REF!,#REF!,#REF!</definedName>
    <definedName name="solver_adj" localSheetId="7" hidden="1">#REF!,#REF!,#REF!,#REF!</definedName>
    <definedName name="solver_adj" localSheetId="5" hidden="1">#REF!,#REF!,#REF!,#REF!</definedName>
    <definedName name="solver_adj" localSheetId="6" hidden="1">'KINGMitsueTT Dil Fee Nipisi'!#REF!</definedName>
    <definedName name="solver_adj" localSheetId="2" hidden="1">#REF!,#REF!,#REF!,#REF!</definedName>
    <definedName name="solver_adj" localSheetId="3" hidden="1">'UtikuNorthTT DilFee Nipisi'!#REF!</definedName>
    <definedName name="solver_adj" localSheetId="4" hidden="1">'UtikuSouthTT DilFee Nipisi'!#REF!</definedName>
    <definedName name="solver_adj" hidden="1">#REF!,#REF!,#REF!,#REF!</definedName>
    <definedName name="solver_cvg" localSheetId="6" hidden="1">0.0001</definedName>
    <definedName name="solver_cvg" localSheetId="3" hidden="1">0.0001</definedName>
    <definedName name="solver_cvg" localSheetId="4" hidden="1">0.0001</definedName>
    <definedName name="solver_cvg" hidden="1">0.0001</definedName>
    <definedName name="solver_drv" localSheetId="6" hidden="1">1</definedName>
    <definedName name="solver_drv" localSheetId="3" hidden="1">1</definedName>
    <definedName name="solver_drv" localSheetId="4" hidden="1">1</definedName>
    <definedName name="solver_drv" hidden="1">1</definedName>
    <definedName name="solver_eng" localSheetId="6" hidden="1">1</definedName>
    <definedName name="solver_eng" localSheetId="3" hidden="1">1</definedName>
    <definedName name="solver_eng" localSheetId="4" hidden="1">1</definedName>
    <definedName name="solver_est" localSheetId="6" hidden="1">1</definedName>
    <definedName name="solver_est" localSheetId="3" hidden="1">1</definedName>
    <definedName name="solver_est" localSheetId="4" hidden="1">1</definedName>
    <definedName name="solver_est" hidden="1">1</definedName>
    <definedName name="solver_itr" localSheetId="6" hidden="1">100</definedName>
    <definedName name="solver_itr" localSheetId="3" hidden="1">100</definedName>
    <definedName name="solver_itr" localSheetId="4" hidden="1">100</definedName>
    <definedName name="solver_itr" hidden="1">100</definedName>
    <definedName name="solver_lhs1" localSheetId="8" hidden="1">#REF!</definedName>
    <definedName name="solver_lhs1" localSheetId="7" hidden="1">#REF!</definedName>
    <definedName name="solver_lhs1" localSheetId="5" hidden="1">#REF!</definedName>
    <definedName name="solver_lhs1" localSheetId="6" hidden="1">'KINGMitsueTT Dil Fee Nipisi'!#REF!</definedName>
    <definedName name="solver_lhs1" localSheetId="2" hidden="1">#REF!</definedName>
    <definedName name="solver_lhs1" localSheetId="3" hidden="1">'UtikuNorthTT DilFee Nipisi'!#REF!</definedName>
    <definedName name="solver_lhs1" localSheetId="4" hidden="1">'UtikuSouthTT DilFee Nipisi'!#REF!</definedName>
    <definedName name="solver_lhs1" hidden="1">#REF!</definedName>
    <definedName name="solver_lhs10" localSheetId="6" hidden="1">'KINGMitsueTT Dil Fee Nipisi'!#REF!</definedName>
    <definedName name="solver_lhs10" localSheetId="3" hidden="1">'UtikuNorthTT DilFee Nipisi'!#REF!</definedName>
    <definedName name="solver_lhs10" localSheetId="4" hidden="1">'UtikuSouthTT DilFee Nipisi'!#REF!</definedName>
    <definedName name="solver_lhs11" localSheetId="6" hidden="1">'KINGMitsueTT Dil Fee Nipisi'!#REF!</definedName>
    <definedName name="solver_lhs11" localSheetId="3" hidden="1">'UtikuNorthTT DilFee Nipisi'!#REF!</definedName>
    <definedName name="solver_lhs11" localSheetId="4" hidden="1">'UtikuSouthTT DilFee Nipisi'!#REF!</definedName>
    <definedName name="solver_lhs12" localSheetId="6" hidden="1">'KINGMitsueTT Dil Fee Nipisi'!#REF!</definedName>
    <definedName name="solver_lhs12" localSheetId="3" hidden="1">'UtikuNorthTT DilFee Nipisi'!#REF!</definedName>
    <definedName name="solver_lhs12" localSheetId="4" hidden="1">'UtikuSouthTT DilFee Nipisi'!#REF!</definedName>
    <definedName name="solver_lhs13" localSheetId="6" hidden="1">'KINGMitsueTT Dil Fee Nipisi'!#REF!</definedName>
    <definedName name="solver_lhs13" localSheetId="3" hidden="1">'UtikuNorthTT DilFee Nipisi'!#REF!</definedName>
    <definedName name="solver_lhs13" localSheetId="4" hidden="1">'UtikuSouthTT DilFee Nipisi'!#REF!</definedName>
    <definedName name="solver_lhs14" localSheetId="6" hidden="1">'KINGMitsueTT Dil Fee Nipisi'!#REF!</definedName>
    <definedName name="solver_lhs14" localSheetId="3" hidden="1">'UtikuNorthTT DilFee Nipisi'!#REF!</definedName>
    <definedName name="solver_lhs14" localSheetId="4" hidden="1">'UtikuSouthTT DilFee Nipisi'!#REF!</definedName>
    <definedName name="solver_lhs15" localSheetId="6" hidden="1">'KINGMitsueTT Dil Fee Nipisi'!#REF!</definedName>
    <definedName name="solver_lhs15" localSheetId="3" hidden="1">'UtikuNorthTT DilFee Nipisi'!#REF!</definedName>
    <definedName name="solver_lhs15" localSheetId="4" hidden="1">'UtikuSouthTT DilFee Nipisi'!#REF!</definedName>
    <definedName name="solver_lhs2" localSheetId="8" hidden="1">#REF!</definedName>
    <definedName name="solver_lhs2" localSheetId="7" hidden="1">#REF!</definedName>
    <definedName name="solver_lhs2" localSheetId="5" hidden="1">#REF!</definedName>
    <definedName name="solver_lhs2" localSheetId="6" hidden="1">'KINGMitsueTT Dil Fee Nipisi'!#REF!</definedName>
    <definedName name="solver_lhs2" localSheetId="2" hidden="1">#REF!</definedName>
    <definedName name="solver_lhs2" localSheetId="3" hidden="1">'UtikuNorthTT DilFee Nipisi'!#REF!</definedName>
    <definedName name="solver_lhs2" localSheetId="4" hidden="1">'UtikuSouthTT DilFee Nipisi'!#REF!</definedName>
    <definedName name="solver_lhs2" hidden="1">#REF!</definedName>
    <definedName name="solver_lhs3" localSheetId="8" hidden="1">#REF!</definedName>
    <definedName name="solver_lhs3" localSheetId="7" hidden="1">#REF!</definedName>
    <definedName name="solver_lhs3" localSheetId="5" hidden="1">#REF!</definedName>
    <definedName name="solver_lhs3" localSheetId="6" hidden="1">'KINGMitsueTT Dil Fee Nipisi'!#REF!</definedName>
    <definedName name="solver_lhs3" localSheetId="2" hidden="1">#REF!</definedName>
    <definedName name="solver_lhs3" localSheetId="3" hidden="1">'UtikuNorthTT DilFee Nipisi'!#REF!</definedName>
    <definedName name="solver_lhs3" localSheetId="4" hidden="1">'UtikuSouthTT DilFee Nipisi'!#REF!</definedName>
    <definedName name="solver_lhs3" hidden="1">#REF!</definedName>
    <definedName name="solver_lhs4" localSheetId="8" hidden="1">#REF!</definedName>
    <definedName name="solver_lhs4" localSheetId="7" hidden="1">#REF!</definedName>
    <definedName name="solver_lhs4" localSheetId="5" hidden="1">#REF!</definedName>
    <definedName name="solver_lhs4" localSheetId="6" hidden="1">'KINGMitsueTT Dil Fee Nipisi'!#REF!</definedName>
    <definedName name="solver_lhs4" localSheetId="2" hidden="1">#REF!</definedName>
    <definedName name="solver_lhs4" localSheetId="3" hidden="1">'UtikuNorthTT DilFee Nipisi'!#REF!</definedName>
    <definedName name="solver_lhs4" localSheetId="4" hidden="1">'UtikuSouthTT DilFee Nipisi'!#REF!</definedName>
    <definedName name="solver_lhs4" hidden="1">#REF!</definedName>
    <definedName name="solver_lhs5" localSheetId="8" hidden="1">#REF!</definedName>
    <definedName name="solver_lhs5" localSheetId="7" hidden="1">#REF!</definedName>
    <definedName name="solver_lhs5" localSheetId="5" hidden="1">#REF!</definedName>
    <definedName name="solver_lhs5" localSheetId="6" hidden="1">'KINGMitsueTT Dil Fee Nipisi'!#REF!</definedName>
    <definedName name="solver_lhs5" localSheetId="2" hidden="1">#REF!</definedName>
    <definedName name="solver_lhs5" localSheetId="3" hidden="1">'UtikuNorthTT DilFee Nipisi'!#REF!</definedName>
    <definedName name="solver_lhs5" localSheetId="4" hidden="1">'UtikuSouthTT DilFee Nipisi'!#REF!</definedName>
    <definedName name="solver_lhs5" hidden="1">#REF!</definedName>
    <definedName name="solver_lhs6" localSheetId="8" hidden="1">#REF!</definedName>
    <definedName name="solver_lhs6" localSheetId="7" hidden="1">#REF!</definedName>
    <definedName name="solver_lhs6" localSheetId="5" hidden="1">#REF!</definedName>
    <definedName name="solver_lhs6" localSheetId="6" hidden="1">'KINGMitsueTT Dil Fee Nipisi'!#REF!</definedName>
    <definedName name="solver_lhs6" localSheetId="2" hidden="1">#REF!</definedName>
    <definedName name="solver_lhs6" localSheetId="3" hidden="1">'UtikuNorthTT DilFee Nipisi'!#REF!</definedName>
    <definedName name="solver_lhs6" localSheetId="4" hidden="1">'UtikuSouthTT DilFee Nipisi'!#REF!</definedName>
    <definedName name="solver_lhs6" hidden="1">#REF!</definedName>
    <definedName name="solver_lhs7" localSheetId="6" hidden="1">'KINGMitsueTT Dil Fee Nipisi'!#REF!</definedName>
    <definedName name="solver_lhs7" localSheetId="3" hidden="1">'UtikuNorthTT DilFee Nipisi'!#REF!</definedName>
    <definedName name="solver_lhs7" localSheetId="4" hidden="1">'UtikuSouthTT DilFee Nipisi'!#REF!</definedName>
    <definedName name="solver_lhs8" localSheetId="6" hidden="1">'KINGMitsueTT Dil Fee Nipisi'!#REF!</definedName>
    <definedName name="solver_lhs8" localSheetId="3" hidden="1">'UtikuNorthTT DilFee Nipisi'!#REF!</definedName>
    <definedName name="solver_lhs8" localSheetId="4" hidden="1">'UtikuSouthTT DilFee Nipisi'!#REF!</definedName>
    <definedName name="solver_lhs9" localSheetId="6" hidden="1">'KINGMitsueTT Dil Fee Nipisi'!#REF!</definedName>
    <definedName name="solver_lhs9" localSheetId="3" hidden="1">'UtikuNorthTT DilFee Nipisi'!#REF!</definedName>
    <definedName name="solver_lhs9" localSheetId="4" hidden="1">'UtikuSouthTT DilFee Nipisi'!#REF!</definedName>
    <definedName name="solver_lin" localSheetId="6" hidden="1">2</definedName>
    <definedName name="solver_lin" localSheetId="3" hidden="1">2</definedName>
    <definedName name="solver_lin" localSheetId="4" hidden="1">2</definedName>
    <definedName name="solver_lin" hidden="1">2</definedName>
    <definedName name="solver_mip" localSheetId="6" hidden="1">2147483647</definedName>
    <definedName name="solver_mip" localSheetId="3" hidden="1">2147483647</definedName>
    <definedName name="solver_mip" localSheetId="4" hidden="1">2147483647</definedName>
    <definedName name="solver_mni" localSheetId="6" hidden="1">30</definedName>
    <definedName name="solver_mni" localSheetId="3" hidden="1">30</definedName>
    <definedName name="solver_mni" localSheetId="4" hidden="1">30</definedName>
    <definedName name="solver_mrt" localSheetId="6" hidden="1">0.075</definedName>
    <definedName name="solver_mrt" localSheetId="3" hidden="1">0.075</definedName>
    <definedName name="solver_mrt" localSheetId="4" hidden="1">0.075</definedName>
    <definedName name="solver_msl" localSheetId="6" hidden="1">2</definedName>
    <definedName name="solver_msl" localSheetId="3" hidden="1">2</definedName>
    <definedName name="solver_msl" localSheetId="4" hidden="1">2</definedName>
    <definedName name="solver_neg" localSheetId="6" hidden="1">1</definedName>
    <definedName name="solver_neg" localSheetId="3" hidden="1">1</definedName>
    <definedName name="solver_neg" localSheetId="4" hidden="1">1</definedName>
    <definedName name="solver_neg" hidden="1">2</definedName>
    <definedName name="solver_nod" localSheetId="6" hidden="1">2147483647</definedName>
    <definedName name="solver_nod" localSheetId="3" hidden="1">2147483647</definedName>
    <definedName name="solver_nod" localSheetId="4" hidden="1">2147483647</definedName>
    <definedName name="solver_num" localSheetId="6" hidden="1">2</definedName>
    <definedName name="solver_num" localSheetId="3" hidden="1">2</definedName>
    <definedName name="solver_num" localSheetId="4" hidden="1">2</definedName>
    <definedName name="solver_num" hidden="1">6</definedName>
    <definedName name="solver_nwt" localSheetId="6" hidden="1">1</definedName>
    <definedName name="solver_nwt" localSheetId="3" hidden="1">1</definedName>
    <definedName name="solver_nwt" localSheetId="4" hidden="1">1</definedName>
    <definedName name="solver_nwt" hidden="1">1</definedName>
    <definedName name="solver_opt" localSheetId="8" hidden="1">#REF!</definedName>
    <definedName name="solver_opt" localSheetId="7" hidden="1">#REF!</definedName>
    <definedName name="solver_opt" localSheetId="5" hidden="1">#REF!</definedName>
    <definedName name="solver_opt" localSheetId="6" hidden="1">'KINGMitsueTT Dil Fee Nipisi'!#REF!</definedName>
    <definedName name="solver_opt" localSheetId="2" hidden="1">#REF!</definedName>
    <definedName name="solver_opt" localSheetId="3" hidden="1">'UtikuNorthTT DilFee Nipisi'!#REF!</definedName>
    <definedName name="solver_opt" localSheetId="4" hidden="1">'UtikuSouthTT DilFee Nipisi'!#REF!</definedName>
    <definedName name="solver_opt" hidden="1">#REF!</definedName>
    <definedName name="solver_pre" localSheetId="6" hidden="1">0.000001</definedName>
    <definedName name="solver_pre" localSheetId="3" hidden="1">0.000001</definedName>
    <definedName name="solver_pre" localSheetId="4" hidden="1">0.000001</definedName>
    <definedName name="solver_pre" hidden="1">0.000001</definedName>
    <definedName name="solver_rbv" localSheetId="6" hidden="1">1</definedName>
    <definedName name="solver_rbv" localSheetId="3" hidden="1">1</definedName>
    <definedName name="solver_rbv" localSheetId="4" hidden="1">1</definedName>
    <definedName name="solver_rel1" localSheetId="6" hidden="1">1</definedName>
    <definedName name="solver_rel1" localSheetId="3" hidden="1">1</definedName>
    <definedName name="solver_rel1" localSheetId="4" hidden="1">1</definedName>
    <definedName name="solver_rel1" hidden="1">1</definedName>
    <definedName name="solver_rel10" localSheetId="6" hidden="1">1</definedName>
    <definedName name="solver_rel10" localSheetId="3" hidden="1">1</definedName>
    <definedName name="solver_rel10" localSheetId="4" hidden="1">1</definedName>
    <definedName name="solver_rel11" localSheetId="6" hidden="1">1</definedName>
    <definedName name="solver_rel11" localSheetId="3" hidden="1">1</definedName>
    <definedName name="solver_rel11" localSheetId="4" hidden="1">1</definedName>
    <definedName name="solver_rel12" localSheetId="6" hidden="1">1</definedName>
    <definedName name="solver_rel12" localSheetId="3" hidden="1">1</definedName>
    <definedName name="solver_rel12" localSheetId="4" hidden="1">1</definedName>
    <definedName name="solver_rel13" localSheetId="6" hidden="1">1</definedName>
    <definedName name="solver_rel13" localSheetId="3" hidden="1">1</definedName>
    <definedName name="solver_rel13" localSheetId="4" hidden="1">1</definedName>
    <definedName name="solver_rel14" localSheetId="6" hidden="1">1</definedName>
    <definedName name="solver_rel14" localSheetId="3" hidden="1">1</definedName>
    <definedName name="solver_rel14" localSheetId="4" hidden="1">1</definedName>
    <definedName name="solver_rel15" localSheetId="6" hidden="1">2</definedName>
    <definedName name="solver_rel15" localSheetId="3" hidden="1">2</definedName>
    <definedName name="solver_rel15" localSheetId="4" hidden="1">2</definedName>
    <definedName name="solver_rel2" localSheetId="6" hidden="1">2</definedName>
    <definedName name="solver_rel2" localSheetId="3" hidden="1">2</definedName>
    <definedName name="solver_rel2" localSheetId="4" hidden="1">2</definedName>
    <definedName name="solver_rel2" hidden="1">1</definedName>
    <definedName name="solver_rel3" localSheetId="6" hidden="1">1</definedName>
    <definedName name="solver_rel3" localSheetId="3" hidden="1">1</definedName>
    <definedName name="solver_rel3" localSheetId="4" hidden="1">1</definedName>
    <definedName name="solver_rel3" hidden="1">3</definedName>
    <definedName name="solver_rel4" localSheetId="6" hidden="1">1</definedName>
    <definedName name="solver_rel4" localSheetId="3" hidden="1">1</definedName>
    <definedName name="solver_rel4" localSheetId="4" hidden="1">1</definedName>
    <definedName name="solver_rel4" hidden="1">3</definedName>
    <definedName name="solver_rel5" localSheetId="6" hidden="1">1</definedName>
    <definedName name="solver_rel5" localSheetId="3" hidden="1">1</definedName>
    <definedName name="solver_rel5" localSheetId="4" hidden="1">1</definedName>
    <definedName name="solver_rel5" hidden="1">3</definedName>
    <definedName name="solver_rel6" localSheetId="6" hidden="1">1</definedName>
    <definedName name="solver_rel6" localSheetId="3" hidden="1">1</definedName>
    <definedName name="solver_rel6" localSheetId="4" hidden="1">1</definedName>
    <definedName name="solver_rel6" hidden="1">3</definedName>
    <definedName name="solver_rel7" localSheetId="6" hidden="1">1</definedName>
    <definedName name="solver_rel7" localSheetId="3" hidden="1">1</definedName>
    <definedName name="solver_rel7" localSheetId="4" hidden="1">1</definedName>
    <definedName name="solver_rel8" localSheetId="6" hidden="1">1</definedName>
    <definedName name="solver_rel8" localSheetId="3" hidden="1">1</definedName>
    <definedName name="solver_rel8" localSheetId="4" hidden="1">1</definedName>
    <definedName name="solver_rel9" localSheetId="6" hidden="1">1</definedName>
    <definedName name="solver_rel9" localSheetId="3" hidden="1">1</definedName>
    <definedName name="solver_rel9" localSheetId="4" hidden="1">1</definedName>
    <definedName name="solver_rhs1" localSheetId="6" hidden="1">'KINGMitsueTT Dil Fee Nipisi'!#REF!</definedName>
    <definedName name="solver_rhs1" localSheetId="3" hidden="1">'UtikuNorthTT DilFee Nipisi'!#REF!</definedName>
    <definedName name="solver_rhs1" localSheetId="4" hidden="1">'UtikuSouthTT DilFee Nipisi'!#REF!</definedName>
    <definedName name="solver_rhs1" hidden="1">0.42</definedName>
    <definedName name="solver_rhs10" localSheetId="6" hidden="1">'KINGMitsueTT Dil Fee Nipisi'!#REF!</definedName>
    <definedName name="solver_rhs10" localSheetId="3" hidden="1">'UtikuNorthTT DilFee Nipisi'!#REF!</definedName>
    <definedName name="solver_rhs10" localSheetId="4" hidden="1">'UtikuSouthTT DilFee Nipisi'!#REF!</definedName>
    <definedName name="solver_rhs11" localSheetId="6" hidden="1">'KINGMitsueTT Dil Fee Nipisi'!#REF!</definedName>
    <definedName name="solver_rhs11" localSheetId="3" hidden="1">'UtikuNorthTT DilFee Nipisi'!#REF!</definedName>
    <definedName name="solver_rhs11" localSheetId="4" hidden="1">'UtikuSouthTT DilFee Nipisi'!#REF!</definedName>
    <definedName name="solver_rhs12" localSheetId="6" hidden="1">'KINGMitsueTT Dil Fee Nipisi'!#REF!</definedName>
    <definedName name="solver_rhs12" localSheetId="3" hidden="1">'UtikuNorthTT DilFee Nipisi'!#REF!</definedName>
    <definedName name="solver_rhs12" localSheetId="4" hidden="1">'UtikuSouthTT DilFee Nipisi'!#REF!</definedName>
    <definedName name="solver_rhs13" localSheetId="6" hidden="1">'KINGMitsueTT Dil Fee Nipisi'!#REF!</definedName>
    <definedName name="solver_rhs13" localSheetId="3" hidden="1">'UtikuNorthTT DilFee Nipisi'!#REF!</definedName>
    <definedName name="solver_rhs13" localSheetId="4" hidden="1">'UtikuSouthTT DilFee Nipisi'!#REF!</definedName>
    <definedName name="solver_rhs14" localSheetId="6" hidden="1">'KINGMitsueTT Dil Fee Nipisi'!#REF!</definedName>
    <definedName name="solver_rhs14" localSheetId="3" hidden="1">'UtikuNorthTT DilFee Nipisi'!#REF!</definedName>
    <definedName name="solver_rhs14" localSheetId="4" hidden="1">'UtikuSouthTT DilFee Nipisi'!#REF!</definedName>
    <definedName name="solver_rhs15" localSheetId="6" hidden="1">'KINGMitsueTT Dil Fee Nipisi'!#REF!</definedName>
    <definedName name="solver_rhs15" localSheetId="3" hidden="1">'UtikuNorthTT DilFee Nipisi'!#REF!</definedName>
    <definedName name="solver_rhs15" localSheetId="4" hidden="1">'UtikuSouthTT DilFee Nipisi'!#REF!</definedName>
    <definedName name="solver_rhs2" localSheetId="6" hidden="1">0.061</definedName>
    <definedName name="solver_rhs2" localSheetId="3" hidden="1">0.061</definedName>
    <definedName name="solver_rhs2" localSheetId="4" hidden="1">0.061</definedName>
    <definedName name="solver_rhs2" hidden="1">5500</definedName>
    <definedName name="solver_rhs3" localSheetId="6" hidden="1">0</definedName>
    <definedName name="solver_rhs3" localSheetId="3" hidden="1">0</definedName>
    <definedName name="solver_rhs3" localSheetId="4" hidden="1">0</definedName>
    <definedName name="solver_rhs3" hidden="1">0</definedName>
    <definedName name="solver_rhs4" localSheetId="6" hidden="1">0</definedName>
    <definedName name="solver_rhs4" localSheetId="3" hidden="1">0</definedName>
    <definedName name="solver_rhs4" localSheetId="4" hidden="1">0</definedName>
    <definedName name="solver_rhs4" hidden="1">0</definedName>
    <definedName name="solver_rhs5" localSheetId="6" hidden="1">0</definedName>
    <definedName name="solver_rhs5" localSheetId="3" hidden="1">0</definedName>
    <definedName name="solver_rhs5" localSheetId="4" hidden="1">0</definedName>
    <definedName name="solver_rhs5" hidden="1">0</definedName>
    <definedName name="solver_rhs6" localSheetId="6" hidden="1">0</definedName>
    <definedName name="solver_rhs6" localSheetId="3" hidden="1">0</definedName>
    <definedName name="solver_rhs6" localSheetId="4" hidden="1">0</definedName>
    <definedName name="solver_rhs6" hidden="1">0</definedName>
    <definedName name="solver_rhs7" localSheetId="6" hidden="1">0.04</definedName>
    <definedName name="solver_rhs7" localSheetId="3" hidden="1">0.04</definedName>
    <definedName name="solver_rhs7" localSheetId="4" hidden="1">0.04</definedName>
    <definedName name="solver_rhs8" localSheetId="6" hidden="1">0.04</definedName>
    <definedName name="solver_rhs8" localSheetId="3" hidden="1">0.04</definedName>
    <definedName name="solver_rhs8" localSheetId="4" hidden="1">0.04</definedName>
    <definedName name="solver_rhs9" localSheetId="6" hidden="1">'KINGMitsueTT Dil Fee Nipisi'!#REF!</definedName>
    <definedName name="solver_rhs9" localSheetId="3" hidden="1">'UtikuNorthTT DilFee Nipisi'!#REF!</definedName>
    <definedName name="solver_rhs9" localSheetId="4" hidden="1">'UtikuSouthTT DilFee Nipisi'!#REF!</definedName>
    <definedName name="solver_rlx" localSheetId="6" hidden="1">1</definedName>
    <definedName name="solver_rlx" localSheetId="3" hidden="1">1</definedName>
    <definedName name="solver_rlx" localSheetId="4" hidden="1">1</definedName>
    <definedName name="solver_rsd" localSheetId="6" hidden="1">0</definedName>
    <definedName name="solver_rsd" localSheetId="3" hidden="1">0</definedName>
    <definedName name="solver_rsd" localSheetId="4" hidden="1">0</definedName>
    <definedName name="solver_scl" localSheetId="6" hidden="1">2</definedName>
    <definedName name="solver_scl" localSheetId="3" hidden="1">2</definedName>
    <definedName name="solver_scl" localSheetId="4" hidden="1">2</definedName>
    <definedName name="solver_scl" hidden="1">2</definedName>
    <definedName name="solver_sho" localSheetId="6" hidden="1">2</definedName>
    <definedName name="solver_sho" localSheetId="3" hidden="1">2</definedName>
    <definedName name="solver_sho" localSheetId="4" hidden="1">2</definedName>
    <definedName name="solver_sho" hidden="1">2</definedName>
    <definedName name="solver_ssz" localSheetId="6" hidden="1">100</definedName>
    <definedName name="solver_ssz" localSheetId="3" hidden="1">100</definedName>
    <definedName name="solver_ssz" localSheetId="4" hidden="1">100</definedName>
    <definedName name="solver_tim" localSheetId="6" hidden="1">100</definedName>
    <definedName name="solver_tim" localSheetId="3" hidden="1">100</definedName>
    <definedName name="solver_tim" localSheetId="4" hidden="1">100</definedName>
    <definedName name="solver_tim" hidden="1">100</definedName>
    <definedName name="solver_tol" localSheetId="6" hidden="1">0.05</definedName>
    <definedName name="solver_tol" localSheetId="3" hidden="1">0.05</definedName>
    <definedName name="solver_tol" localSheetId="4" hidden="1">0.05</definedName>
    <definedName name="solver_tol" hidden="1">0.05</definedName>
    <definedName name="solver_typ" localSheetId="6" hidden="1">1</definedName>
    <definedName name="solver_typ" localSheetId="3" hidden="1">1</definedName>
    <definedName name="solver_typ" localSheetId="4" hidden="1">1</definedName>
    <definedName name="solver_typ" hidden="1">1</definedName>
    <definedName name="solver_val" localSheetId="6" hidden="1">0</definedName>
    <definedName name="solver_val" localSheetId="3" hidden="1">0</definedName>
    <definedName name="solver_val" localSheetId="4" hidden="1">0</definedName>
    <definedName name="solver_val" hidden="1">0</definedName>
    <definedName name="solver_ver" localSheetId="6" hidden="1">3</definedName>
    <definedName name="solver_ver" localSheetId="3" hidden="1">3</definedName>
    <definedName name="solver_ver" localSheetId="4" hidden="1">3</definedName>
    <definedName name="tax">[3]Model!$B$7</definedName>
    <definedName name="Tax_depr_rate">#REF!</definedName>
    <definedName name="Tax_rate">#REF!</definedName>
    <definedName name="TBL_EQ">[15]Pricing!$K$3:$T$9</definedName>
    <definedName name="TBL_PRODUCT_LIST">[15]Pricing!$D$24:$I$43</definedName>
    <definedName name="TBL_TRANSACTION_TYPE">[16]REFERENCE!#REF!</definedName>
    <definedName name="Tervita_landfill_Sale">[2]Assumptions!$AR$19</definedName>
    <definedName name="TEV">[3]DCF!$F$32</definedName>
    <definedName name="Tier">[9]Tables!$F$4:$F$6</definedName>
    <definedName name="Today">#REF!</definedName>
    <definedName name="Total_SB_Capex">[2]DCF!$E$46:$U$46</definedName>
    <definedName name="V.E">#REF!</definedName>
    <definedName name="volume">[3]Assumptions!#REF!</definedName>
    <definedName name="VolumeProfile">#REF!</definedName>
    <definedName name="WC_rate">#REF!</definedName>
    <definedName name="wrn.Producer._.Volumes._.letter._.size." localSheetId="8" hidden="1">{"Producer Volume letter size",#N/A,FALSE,"STN_TKTS"}</definedName>
    <definedName name="wrn.Producer._.Volumes._.letter._.size." localSheetId="7" hidden="1">{"Producer Volume letter size",#N/A,FALSE,"STN_TKTS"}</definedName>
    <definedName name="wrn.Producer._.Volumes._.letter._.size." localSheetId="5" hidden="1">{"Producer Volume letter size",#N/A,FALSE,"STN_TKTS"}</definedName>
    <definedName name="wrn.Producer._.Volumes._.letter._.size." localSheetId="6" hidden="1">{"Producer Volume letter size",#N/A,FALSE,"STN_TKTS"}</definedName>
    <definedName name="wrn.Producer._.Volumes._.letter._.size." localSheetId="2" hidden="1">{"Producer Volume letter size",#N/A,FALSE,"STN_TKTS"}</definedName>
    <definedName name="wrn.Producer._.Volumes._.letter._.size." localSheetId="3" hidden="1">{"Producer Volume letter size",#N/A,FALSE,"STN_TKTS"}</definedName>
    <definedName name="wrn.Producer._.Volumes._.letter._.size." localSheetId="4" hidden="1">{"Producer Volume letter size",#N/A,FALSE,"STN_TKTS"}</definedName>
    <definedName name="wrn.Producer._.Volumes._.letter._.size." hidden="1">{"Producer Volume letter size",#N/A,FALSE,"STN_TKTS"}</definedName>
    <definedName name="wrn.Rainbow._.Splits._.letter._.paper." localSheetId="8" hidden="1">{"Rainbow Splits",#N/A,FALSE,"SALES SUMMARY"}</definedName>
    <definedName name="wrn.Rainbow._.Splits._.letter._.paper." localSheetId="7" hidden="1">{"Rainbow Splits",#N/A,FALSE,"SALES SUMMARY"}</definedName>
    <definedName name="wrn.Rainbow._.Splits._.letter._.paper." localSheetId="5" hidden="1">{"Rainbow Splits",#N/A,FALSE,"SALES SUMMARY"}</definedName>
    <definedName name="wrn.Rainbow._.Splits._.letter._.paper." localSheetId="6" hidden="1">{"Rainbow Splits",#N/A,FALSE,"SALES SUMMARY"}</definedName>
    <definedName name="wrn.Rainbow._.Splits._.letter._.paper." localSheetId="2" hidden="1">{"Rainbow Splits",#N/A,FALSE,"SALES SUMMARY"}</definedName>
    <definedName name="wrn.Rainbow._.Splits._.letter._.paper." localSheetId="3" hidden="1">{"Rainbow Splits",#N/A,FALSE,"SALES SUMMARY"}</definedName>
    <definedName name="wrn.Rainbow._.Splits._.letter._.paper." localSheetId="4" hidden="1">{"Rainbow Splits",#N/A,FALSE,"SALES SUMMARY"}</definedName>
    <definedName name="wrn.Rainbow._.Splits._.letter._.paper." hidden="1">{"Rainbow Splits",#N/A,FALSE,"SALES SUMMARY"}</definedName>
    <definedName name="wrn.Sales._.Summ._.legal._.paper." localSheetId="8" hidden="1">{"Sales Summary",#N/A,FALSE,"SALES SUMMARY"}</definedName>
    <definedName name="wrn.Sales._.Summ._.legal._.paper." localSheetId="7" hidden="1">{"Sales Summary",#N/A,FALSE,"SALES SUMMARY"}</definedName>
    <definedName name="wrn.Sales._.Summ._.legal._.paper." localSheetId="5" hidden="1">{"Sales Summary",#N/A,FALSE,"SALES SUMMARY"}</definedName>
    <definedName name="wrn.Sales._.Summ._.legal._.paper." localSheetId="6" hidden="1">{"Sales Summary",#N/A,FALSE,"SALES SUMMARY"}</definedName>
    <definedName name="wrn.Sales._.Summ._.legal._.paper." localSheetId="2" hidden="1">{"Sales Summary",#N/A,FALSE,"SALES SUMMARY"}</definedName>
    <definedName name="wrn.Sales._.Summ._.legal._.paper." localSheetId="3" hidden="1">{"Sales Summary",#N/A,FALSE,"SALES SUMMARY"}</definedName>
    <definedName name="wrn.Sales._.Summ._.legal._.paper." localSheetId="4" hidden="1">{"Sales Summary",#N/A,FALSE,"SALES SUMMARY"}</definedName>
    <definedName name="wrn.Sales._.Summ._.legal._.paper." hidden="1">{"Sales Summary",#N/A,FALSE,"SALES SUMMARY"}</definedName>
    <definedName name="YC">#REF!</definedName>
    <definedName name="Year">[12]Inputs!$B$2</definedName>
    <definedName name="Year_end">#REF!</definedName>
    <definedName name="Year_Rate_differs_from_Baseline">[2]Assumptions!$AB$19</definedName>
    <definedName name="Year_Volume_differs_from_Baseline">[2]Assumptions!$AA$19</definedName>
    <definedName name="Z_20F2DA13_7863_42F4_8D15_6D95E03D71C0_.wvu.PrintTitles" localSheetId="8" hidden="1">#REF!</definedName>
    <definedName name="Z_20F2DA13_7863_42F4_8D15_6D95E03D71C0_.wvu.PrintTitles" localSheetId="7" hidden="1">#REF!</definedName>
    <definedName name="Z_20F2DA13_7863_42F4_8D15_6D95E03D71C0_.wvu.PrintTitles" localSheetId="5" hidden="1">#REF!</definedName>
    <definedName name="Z_20F2DA13_7863_42F4_8D15_6D95E03D71C0_.wvu.PrintTitles" localSheetId="6" hidden="1">#REF!</definedName>
    <definedName name="Z_20F2DA13_7863_42F4_8D15_6D95E03D71C0_.wvu.PrintTitles" localSheetId="2" hidden="1">#REF!</definedName>
    <definedName name="Z_20F2DA13_7863_42F4_8D15_6D95E03D71C0_.wvu.PrintTitles" localSheetId="3" hidden="1">#REF!</definedName>
    <definedName name="Z_20F2DA13_7863_42F4_8D15_6D95E03D71C0_.wvu.PrintTitles" localSheetId="4" hidden="1">#REF!</definedName>
    <definedName name="Z_20F2DA13_7863_42F4_8D15_6D95E03D71C0_.wvu.PrintTitles" hidden="1">#REF!</definedName>
    <definedName name="Z_821BE7E0_EF52_11D3_BC74_BCD19080293C_.wvu.PrintArea" localSheetId="8" hidden="1">#REF!</definedName>
    <definedName name="Z_821BE7E0_EF52_11D3_BC74_BCD19080293C_.wvu.PrintArea" localSheetId="7" hidden="1">#REF!</definedName>
    <definedName name="Z_821BE7E0_EF52_11D3_BC74_BCD19080293C_.wvu.PrintArea" localSheetId="5" hidden="1">#REF!</definedName>
    <definedName name="Z_821BE7E0_EF52_11D3_BC74_BCD19080293C_.wvu.PrintArea" localSheetId="6" hidden="1">#REF!</definedName>
    <definedName name="Z_821BE7E0_EF52_11D3_BC74_BCD19080293C_.wvu.PrintArea" localSheetId="2" hidden="1">#REF!</definedName>
    <definedName name="Z_821BE7E0_EF52_11D3_BC74_BCD19080293C_.wvu.PrintArea" localSheetId="3" hidden="1">#REF!</definedName>
    <definedName name="Z_821BE7E0_EF52_11D3_BC74_BCD19080293C_.wvu.PrintArea" localSheetId="4" hidden="1">#REF!</definedName>
    <definedName name="Z_821BE7E0_EF52_11D3_BC74_BCD19080293C_.wvu.PrintArea" hidden="1">#REF!</definedName>
    <definedName name="Z_821BE7E0_EF52_11D3_BC74_BCD19080293C_.wvu.PrintTitles" localSheetId="8" hidden="1">#REF!</definedName>
    <definedName name="Z_821BE7E0_EF52_11D3_BC74_BCD19080293C_.wvu.PrintTitles" localSheetId="7" hidden="1">#REF!</definedName>
    <definedName name="Z_821BE7E0_EF52_11D3_BC74_BCD19080293C_.wvu.PrintTitles" localSheetId="5" hidden="1">#REF!</definedName>
    <definedName name="Z_821BE7E0_EF52_11D3_BC74_BCD19080293C_.wvu.PrintTitles" localSheetId="6" hidden="1">#REF!</definedName>
    <definedName name="Z_821BE7E0_EF52_11D3_BC74_BCD19080293C_.wvu.PrintTitles" localSheetId="2" hidden="1">#REF!</definedName>
    <definedName name="Z_821BE7E0_EF52_11D3_BC74_BCD19080293C_.wvu.PrintTitles" localSheetId="3" hidden="1">#REF!</definedName>
    <definedName name="Z_821BE7E0_EF52_11D3_BC74_BCD19080293C_.wvu.PrintTitles" localSheetId="4" hidden="1">#REF!</definedName>
    <definedName name="Z_821BE7E0_EF52_11D3_BC74_BCD19080293C_.wvu.PrintTitles" hidden="1">#REF!</definedName>
    <definedName name="Z_9487FFCA_713E_4C9A_9779_CB10A0EF153F_.wvu.PrintTitles" localSheetId="8" hidden="1">#REF!</definedName>
    <definedName name="Z_9487FFCA_713E_4C9A_9779_CB10A0EF153F_.wvu.PrintTitles" localSheetId="7" hidden="1">#REF!</definedName>
    <definedName name="Z_9487FFCA_713E_4C9A_9779_CB10A0EF153F_.wvu.PrintTitles" localSheetId="5" hidden="1">#REF!</definedName>
    <definedName name="Z_9487FFCA_713E_4C9A_9779_CB10A0EF153F_.wvu.PrintTitles" localSheetId="6" hidden="1">#REF!</definedName>
    <definedName name="Z_9487FFCA_713E_4C9A_9779_CB10A0EF153F_.wvu.PrintTitles" localSheetId="2" hidden="1">#REF!</definedName>
    <definedName name="Z_9487FFCA_713E_4C9A_9779_CB10A0EF153F_.wvu.PrintTitles" localSheetId="3" hidden="1">#REF!</definedName>
    <definedName name="Z_9487FFCA_713E_4C9A_9779_CB10A0EF153F_.wvu.PrintTitles" localSheetId="4" hidden="1">#REF!</definedName>
    <definedName name="Z_9487FFCA_713E_4C9A_9779_CB10A0EF153F_.wvu.PrintTitles" hidden="1">#REF!</definedName>
    <definedName name="Z_A2138960_C648_11D2_B3E3_0006296A69E1_.wvu.PrintArea" localSheetId="8" hidden="1">#REF!</definedName>
    <definedName name="Z_A2138960_C648_11D2_B3E3_0006296A69E1_.wvu.PrintArea" localSheetId="7" hidden="1">#REF!</definedName>
    <definedName name="Z_A2138960_C648_11D2_B3E3_0006296A69E1_.wvu.PrintArea" localSheetId="5" hidden="1">#REF!</definedName>
    <definedName name="Z_A2138960_C648_11D2_B3E3_0006296A69E1_.wvu.PrintArea" localSheetId="6" hidden="1">#REF!</definedName>
    <definedName name="Z_A2138960_C648_11D2_B3E3_0006296A69E1_.wvu.PrintArea" localSheetId="2" hidden="1">#REF!</definedName>
    <definedName name="Z_A2138960_C648_11D2_B3E3_0006296A69E1_.wvu.PrintArea" localSheetId="3" hidden="1">#REF!</definedName>
    <definedName name="Z_A2138960_C648_11D2_B3E3_0006296A69E1_.wvu.PrintArea" localSheetId="4" hidden="1">#REF!</definedName>
    <definedName name="Z_A2138960_C648_11D2_B3E3_0006296A69E1_.wvu.PrintArea" hidden="1">#REF!</definedName>
    <definedName name="Z_A2138960_C648_11D2_B3E3_0006296A69E1_.wvu.PrintTitles" localSheetId="8" hidden="1">#REF!</definedName>
    <definedName name="Z_A2138960_C648_11D2_B3E3_0006296A69E1_.wvu.PrintTitles" localSheetId="7" hidden="1">#REF!</definedName>
    <definedName name="Z_A2138960_C648_11D2_B3E3_0006296A69E1_.wvu.PrintTitles" localSheetId="5" hidden="1">#REF!</definedName>
    <definedName name="Z_A2138960_C648_11D2_B3E3_0006296A69E1_.wvu.PrintTitles" localSheetId="6" hidden="1">#REF!</definedName>
    <definedName name="Z_A2138960_C648_11D2_B3E3_0006296A69E1_.wvu.PrintTitles" localSheetId="2" hidden="1">#REF!</definedName>
    <definedName name="Z_A2138960_C648_11D2_B3E3_0006296A69E1_.wvu.PrintTitles" localSheetId="3" hidden="1">#REF!</definedName>
    <definedName name="Z_A2138960_C648_11D2_B3E3_0006296A69E1_.wvu.PrintTitles" localSheetId="4" hidden="1">#REF!</definedName>
    <definedName name="Z_A2138960_C648_11D2_B3E3_0006296A69E1_.wvu.PrintTitles" hidden="1">#REF!</definedName>
    <definedName name="Z_A2138962_C648_11D2_B3E3_0006296A69E1_.wvu.PrintArea" localSheetId="8" hidden="1">#REF!</definedName>
    <definedName name="Z_A2138962_C648_11D2_B3E3_0006296A69E1_.wvu.PrintArea" localSheetId="7" hidden="1">#REF!</definedName>
    <definedName name="Z_A2138962_C648_11D2_B3E3_0006296A69E1_.wvu.PrintArea" localSheetId="5" hidden="1">#REF!</definedName>
    <definedName name="Z_A2138962_C648_11D2_B3E3_0006296A69E1_.wvu.PrintArea" localSheetId="6" hidden="1">#REF!</definedName>
    <definedName name="Z_A2138962_C648_11D2_B3E3_0006296A69E1_.wvu.PrintArea" localSheetId="2" hidden="1">#REF!</definedName>
    <definedName name="Z_A2138962_C648_11D2_B3E3_0006296A69E1_.wvu.PrintArea" localSheetId="3" hidden="1">#REF!</definedName>
    <definedName name="Z_A2138962_C648_11D2_B3E3_0006296A69E1_.wvu.PrintArea" localSheetId="4" hidden="1">#REF!</definedName>
    <definedName name="Z_A2138962_C648_11D2_B3E3_0006296A69E1_.wvu.PrintArea" hidden="1">#REF!</definedName>
    <definedName name="Z_A2138962_C648_11D2_B3E3_0006296A69E1_.wvu.PrintTitles" localSheetId="8" hidden="1">#REF!</definedName>
    <definedName name="Z_A2138962_C648_11D2_B3E3_0006296A69E1_.wvu.PrintTitles" localSheetId="7" hidden="1">#REF!</definedName>
    <definedName name="Z_A2138962_C648_11D2_B3E3_0006296A69E1_.wvu.PrintTitles" localSheetId="5" hidden="1">#REF!</definedName>
    <definedName name="Z_A2138962_C648_11D2_B3E3_0006296A69E1_.wvu.PrintTitles" localSheetId="6" hidden="1">#REF!</definedName>
    <definedName name="Z_A2138962_C648_11D2_B3E3_0006296A69E1_.wvu.PrintTitles" localSheetId="2" hidden="1">#REF!</definedName>
    <definedName name="Z_A2138962_C648_11D2_B3E3_0006296A69E1_.wvu.PrintTitles" localSheetId="3" hidden="1">#REF!</definedName>
    <definedName name="Z_A2138962_C648_11D2_B3E3_0006296A69E1_.wvu.PrintTitles" localSheetId="4" hidden="1">#REF!</definedName>
    <definedName name="Z_A2138962_C648_11D2_B3E3_0006296A69E1_.wvu.PrintTitles" hidden="1">#REF!</definedName>
    <definedName name="Z_A61811B2_6E3F_44E1_BE5E_7427F4691283_.wvu.PrintTitles" localSheetId="8" hidden="1">#REF!</definedName>
    <definedName name="Z_A61811B2_6E3F_44E1_BE5E_7427F4691283_.wvu.PrintTitles" localSheetId="7" hidden="1">#REF!</definedName>
    <definedName name="Z_A61811B2_6E3F_44E1_BE5E_7427F4691283_.wvu.PrintTitles" localSheetId="5" hidden="1">#REF!</definedName>
    <definedName name="Z_A61811B2_6E3F_44E1_BE5E_7427F4691283_.wvu.PrintTitles" localSheetId="6" hidden="1">#REF!</definedName>
    <definedName name="Z_A61811B2_6E3F_44E1_BE5E_7427F4691283_.wvu.PrintTitles" localSheetId="2" hidden="1">#REF!</definedName>
    <definedName name="Z_A61811B2_6E3F_44E1_BE5E_7427F4691283_.wvu.PrintTitles" localSheetId="3" hidden="1">#REF!</definedName>
    <definedName name="Z_A61811B2_6E3F_44E1_BE5E_7427F4691283_.wvu.PrintTitles" localSheetId="4" hidden="1">#REF!</definedName>
    <definedName name="Z_A61811B2_6E3F_44E1_BE5E_7427F4691283_.wvu.PrintTitle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3" l="1"/>
  <c r="E56" i="13"/>
  <c r="E44" i="13"/>
  <c r="L70" i="13"/>
  <c r="L69" i="13"/>
  <c r="L68" i="13"/>
  <c r="L67" i="13"/>
  <c r="L66" i="13"/>
  <c r="L65" i="13"/>
  <c r="L64" i="13"/>
  <c r="L63" i="13"/>
  <c r="L62" i="13"/>
  <c r="L61" i="13"/>
  <c r="L59" i="13"/>
  <c r="BP164" i="14"/>
  <c r="BP165" i="14"/>
  <c r="BP178" i="14"/>
  <c r="BP177" i="14"/>
  <c r="BP183" i="14"/>
  <c r="BP182" i="14"/>
  <c r="BP181" i="14"/>
  <c r="BP180" i="14"/>
  <c r="BP179" i="14"/>
  <c r="F114" i="13" l="1"/>
  <c r="F50" i="13" s="1"/>
  <c r="AJ171" i="14"/>
  <c r="AK171" i="14" s="1"/>
  <c r="AK170" i="14"/>
  <c r="AJ170" i="14"/>
  <c r="AJ169" i="14"/>
  <c r="AK169" i="14" s="1"/>
  <c r="AJ168" i="14"/>
  <c r="AK168" i="14" s="1"/>
  <c r="AK167" i="14"/>
  <c r="AJ167" i="14"/>
  <c r="AJ166" i="14"/>
  <c r="AK166" i="14" s="1"/>
  <c r="AJ165" i="14"/>
  <c r="AK165" i="14" s="1"/>
  <c r="AK164" i="14"/>
  <c r="AJ164" i="14"/>
  <c r="AJ163" i="14"/>
  <c r="AK163" i="14" s="1"/>
  <c r="AK162" i="14"/>
  <c r="AJ162" i="14"/>
  <c r="H6" i="13"/>
  <c r="H5" i="13"/>
  <c r="H4" i="13"/>
  <c r="G6" i="13"/>
  <c r="E6" i="13"/>
  <c r="F6" i="13" s="1"/>
  <c r="D6" i="13"/>
  <c r="G5" i="13"/>
  <c r="E5" i="13"/>
  <c r="F5" i="13" s="1"/>
  <c r="D5" i="13"/>
  <c r="G4" i="13"/>
  <c r="E4" i="13"/>
  <c r="D4" i="13"/>
  <c r="E3" i="13"/>
  <c r="D3" i="13"/>
  <c r="G44" i="13"/>
  <c r="H106" i="13"/>
  <c r="C106" i="13"/>
  <c r="G114" i="13"/>
  <c r="G50" i="13" s="1"/>
  <c r="E114" i="13"/>
  <c r="E106" i="13"/>
  <c r="H104" i="13"/>
  <c r="F4" i="13" l="1"/>
  <c r="F3" i="13"/>
  <c r="I3" i="13" s="1"/>
  <c r="I5" i="13"/>
  <c r="I6" i="13"/>
  <c r="I4" i="13"/>
  <c r="H11" i="13"/>
  <c r="H12" i="13"/>
  <c r="H10" i="13"/>
  <c r="G12" i="13"/>
  <c r="E12" i="13"/>
  <c r="D12" i="13"/>
  <c r="G11" i="13"/>
  <c r="E11" i="13"/>
  <c r="D11" i="13"/>
  <c r="G10" i="13"/>
  <c r="E10" i="13"/>
  <c r="D10" i="13"/>
  <c r="E9" i="13"/>
  <c r="D9" i="13"/>
  <c r="I122" i="13"/>
  <c r="F106" i="13"/>
  <c r="F117" i="13"/>
  <c r="G117" i="13"/>
  <c r="G49" i="13" s="1"/>
  <c r="J122" i="13"/>
  <c r="E27" i="13"/>
  <c r="E104" i="13" s="1"/>
  <c r="E127" i="13" s="1"/>
  <c r="G16" i="13"/>
  <c r="E16" i="13"/>
  <c r="D16" i="13"/>
  <c r="E51" i="13"/>
  <c r="E37" i="13"/>
  <c r="E34" i="13"/>
  <c r="E33" i="13"/>
  <c r="E29" i="13"/>
  <c r="E116" i="28"/>
  <c r="E115" i="28"/>
  <c r="D103" i="28"/>
  <c r="E93" i="28"/>
  <c r="J93" i="28" s="1"/>
  <c r="D93" i="28"/>
  <c r="C91" i="28"/>
  <c r="I91" i="28" s="1"/>
  <c r="E79" i="28"/>
  <c r="R61" i="28"/>
  <c r="Q61" i="28"/>
  <c r="E61" i="28"/>
  <c r="Q60" i="28"/>
  <c r="R60" i="28" s="1"/>
  <c r="E60" i="28"/>
  <c r="Q56" i="28"/>
  <c r="P56" i="28"/>
  <c r="Q48" i="28"/>
  <c r="D48" i="28"/>
  <c r="C48" i="28"/>
  <c r="E38" i="28"/>
  <c r="J38" i="28" s="1"/>
  <c r="D38" i="28"/>
  <c r="C36" i="28"/>
  <c r="I36" i="28" s="1"/>
  <c r="B36" i="28"/>
  <c r="C22" i="28"/>
  <c r="B22" i="28"/>
  <c r="C46" i="28" s="1"/>
  <c r="L15" i="28"/>
  <c r="L14" i="28"/>
  <c r="C24" i="28" s="1"/>
  <c r="I10" i="28"/>
  <c r="I8" i="28"/>
  <c r="H52" i="13"/>
  <c r="H51" i="13"/>
  <c r="G20" i="13"/>
  <c r="E20" i="13"/>
  <c r="D20" i="13"/>
  <c r="H37" i="13"/>
  <c r="H32" i="13"/>
  <c r="H33" i="13"/>
  <c r="E39" i="27"/>
  <c r="J15" i="27"/>
  <c r="B10" i="27"/>
  <c r="B9" i="27"/>
  <c r="K8" i="27"/>
  <c r="B11" i="27" s="1"/>
  <c r="AD1" i="14"/>
  <c r="AE1" i="14" s="1"/>
  <c r="AF1" i="14" s="1"/>
  <c r="AG1" i="14" s="1"/>
  <c r="AH1" i="14" s="1"/>
  <c r="AI1" i="14" s="1"/>
  <c r="AJ1" i="14" s="1"/>
  <c r="AK1" i="14" s="1"/>
  <c r="AL1" i="14" s="1"/>
  <c r="AM1" i="14" s="1"/>
  <c r="AN1" i="14" s="1"/>
  <c r="AO1" i="14" s="1"/>
  <c r="AP1" i="14" s="1"/>
  <c r="AQ1" i="14" s="1"/>
  <c r="AR1" i="14" s="1"/>
  <c r="AS1" i="14" s="1"/>
  <c r="AT1" i="14" s="1"/>
  <c r="AU1" i="14" s="1"/>
  <c r="AV1" i="14" s="1"/>
  <c r="AW1" i="14" s="1"/>
  <c r="AX1" i="14" s="1"/>
  <c r="AY1" i="14" s="1"/>
  <c r="AZ1" i="14" s="1"/>
  <c r="BA1" i="14" s="1"/>
  <c r="BB1" i="14" s="1"/>
  <c r="BC1" i="14" s="1"/>
  <c r="BD1" i="14" s="1"/>
  <c r="BE1" i="14" s="1"/>
  <c r="BF1" i="14" s="1"/>
  <c r="BG1" i="14" s="1"/>
  <c r="BH1" i="14" s="1"/>
  <c r="BI1" i="14" s="1"/>
  <c r="BJ1" i="14" s="1"/>
  <c r="BK1" i="14" s="1"/>
  <c r="BL1" i="14" s="1"/>
  <c r="BM1" i="14" s="1"/>
  <c r="BN1" i="14" s="1"/>
  <c r="BO1" i="14" s="1"/>
  <c r="BP1" i="14" s="1"/>
  <c r="BQ1" i="14" s="1"/>
  <c r="BR1" i="14" s="1"/>
  <c r="BS1" i="14" s="1"/>
  <c r="BT1" i="14" s="1"/>
  <c r="BU1" i="14" s="1"/>
  <c r="BV1" i="14" s="1"/>
  <c r="BW1" i="14" s="1"/>
  <c r="BX1" i="14" s="1"/>
  <c r="BY1" i="14" s="1"/>
  <c r="BZ1" i="14" s="1"/>
  <c r="CA1" i="14" s="1"/>
  <c r="CB1" i="14" s="1"/>
  <c r="CC1" i="14" s="1"/>
  <c r="CD1" i="14" s="1"/>
  <c r="CE1" i="14" s="1"/>
  <c r="E39" i="26"/>
  <c r="B10" i="26"/>
  <c r="B9" i="26"/>
  <c r="F8" i="26" s="1"/>
  <c r="K8" i="26"/>
  <c r="H29" i="13"/>
  <c r="F27" i="13"/>
  <c r="F104" i="13" s="1"/>
  <c r="F127" i="13" s="1"/>
  <c r="F51" i="13"/>
  <c r="F44" i="13"/>
  <c r="F37" i="13"/>
  <c r="F34" i="13"/>
  <c r="F33" i="13"/>
  <c r="F29" i="13"/>
  <c r="J37" i="13"/>
  <c r="I37" i="13"/>
  <c r="G37" i="13"/>
  <c r="D37" i="13"/>
  <c r="C37" i="13"/>
  <c r="B5" i="25" s="1"/>
  <c r="E115" i="25"/>
  <c r="E114" i="25"/>
  <c r="D102" i="25"/>
  <c r="J92" i="25"/>
  <c r="E92" i="25"/>
  <c r="D92" i="25"/>
  <c r="C90" i="25"/>
  <c r="I90" i="25" s="1"/>
  <c r="E78" i="25"/>
  <c r="Q61" i="25"/>
  <c r="R61" i="25" s="1"/>
  <c r="E61" i="25"/>
  <c r="Q60" i="25"/>
  <c r="R60" i="25" s="1"/>
  <c r="E60" i="25"/>
  <c r="Q56" i="25"/>
  <c r="P56" i="25"/>
  <c r="R56" i="25" s="1"/>
  <c r="C56" i="25"/>
  <c r="E56" i="25" s="1"/>
  <c r="Q48" i="25"/>
  <c r="D48" i="25"/>
  <c r="C48" i="25"/>
  <c r="J38" i="25"/>
  <c r="E38" i="25"/>
  <c r="D38" i="25"/>
  <c r="I36" i="25"/>
  <c r="C36" i="25"/>
  <c r="B36" i="25"/>
  <c r="C22" i="25"/>
  <c r="D46" i="25" s="1"/>
  <c r="B22" i="25"/>
  <c r="C46" i="25" s="1"/>
  <c r="L15" i="25"/>
  <c r="L14" i="25"/>
  <c r="C24" i="25" s="1"/>
  <c r="I10" i="25"/>
  <c r="I8" i="25"/>
  <c r="I52" i="13"/>
  <c r="J52" i="13"/>
  <c r="J51" i="13"/>
  <c r="I51" i="13"/>
  <c r="G51" i="13"/>
  <c r="C51" i="13"/>
  <c r="I49" i="13"/>
  <c r="J49" i="13"/>
  <c r="C49" i="13"/>
  <c r="I44" i="13"/>
  <c r="J44" i="13"/>
  <c r="D44" i="13"/>
  <c r="C52" i="13"/>
  <c r="C18" i="24"/>
  <c r="I31" i="13" s="1"/>
  <c r="C17" i="24"/>
  <c r="E82" i="25" s="1"/>
  <c r="R56" i="28" l="1"/>
  <c r="E36" i="28"/>
  <c r="J36" i="28" s="1"/>
  <c r="E128" i="13"/>
  <c r="F12" i="13"/>
  <c r="I12" i="13" s="1"/>
  <c r="C12" i="24" s="1"/>
  <c r="D57" i="25" s="1"/>
  <c r="Q57" i="25" s="1"/>
  <c r="F10" i="13"/>
  <c r="I10" i="13" s="1"/>
  <c r="F49" i="13"/>
  <c r="F9" i="13"/>
  <c r="I9" i="13" s="1"/>
  <c r="C10" i="24" s="1"/>
  <c r="D57" i="28" s="1"/>
  <c r="E31" i="13"/>
  <c r="F11" i="13"/>
  <c r="I11" i="13" s="1"/>
  <c r="C11" i="24" s="1"/>
  <c r="F16" i="13"/>
  <c r="I16" i="13" s="1"/>
  <c r="F20" i="13"/>
  <c r="I20" i="13" s="1"/>
  <c r="D36" i="28"/>
  <c r="G36" i="28" s="1"/>
  <c r="O32" i="25"/>
  <c r="R21" i="25" s="1"/>
  <c r="O30" i="28"/>
  <c r="L8" i="27"/>
  <c r="B12" i="27" s="1"/>
  <c r="B26" i="27" s="1"/>
  <c r="D27" i="27" s="1"/>
  <c r="D46" i="28"/>
  <c r="B28" i="28"/>
  <c r="Q46" i="28"/>
  <c r="H31" i="13"/>
  <c r="B5" i="28"/>
  <c r="B10" i="28" s="1"/>
  <c r="E129" i="13" s="1"/>
  <c r="B78" i="28"/>
  <c r="D91" i="28" s="1"/>
  <c r="E83" i="28"/>
  <c r="E63" i="28"/>
  <c r="O29" i="28"/>
  <c r="D47" i="28"/>
  <c r="C37" i="28"/>
  <c r="I37" i="28" s="1"/>
  <c r="O23" i="28"/>
  <c r="C80" i="28"/>
  <c r="P46" i="28"/>
  <c r="C78" i="28"/>
  <c r="E48" i="28"/>
  <c r="O21" i="28"/>
  <c r="C56" i="28"/>
  <c r="E56" i="28" s="1"/>
  <c r="O22" i="28"/>
  <c r="O32" i="28"/>
  <c r="B8" i="26"/>
  <c r="L10" i="26" s="1"/>
  <c r="B8" i="27"/>
  <c r="J13" i="27" s="1"/>
  <c r="F8" i="27"/>
  <c r="B11" i="26"/>
  <c r="P46" i="25"/>
  <c r="R48" i="25" s="1"/>
  <c r="C77" i="25"/>
  <c r="D100" i="25" s="1"/>
  <c r="Q46" i="25"/>
  <c r="O30" i="25"/>
  <c r="B28" i="25"/>
  <c r="F31" i="13"/>
  <c r="B6" i="25"/>
  <c r="C9" i="25"/>
  <c r="B7" i="25"/>
  <c r="G5" i="25"/>
  <c r="I9" i="25"/>
  <c r="I14" i="25" s="1"/>
  <c r="B10" i="25"/>
  <c r="B11" i="25" s="1"/>
  <c r="B12" i="25" s="1"/>
  <c r="C79" i="25"/>
  <c r="O29" i="25"/>
  <c r="D47" i="25"/>
  <c r="C37" i="25"/>
  <c r="I37" i="25" s="1"/>
  <c r="O23" i="25"/>
  <c r="E63" i="25"/>
  <c r="E48" i="25"/>
  <c r="I6" i="25"/>
  <c r="B77" i="25"/>
  <c r="B8" i="25"/>
  <c r="O21" i="25"/>
  <c r="L12" i="25"/>
  <c r="D36" i="25"/>
  <c r="B9" i="25"/>
  <c r="L13" i="25"/>
  <c r="O22" i="25"/>
  <c r="E36" i="25"/>
  <c r="C31" i="13"/>
  <c r="J31" i="13"/>
  <c r="D31" i="13"/>
  <c r="G31" i="13"/>
  <c r="B28" i="16"/>
  <c r="F133" i="13" s="1"/>
  <c r="L8" i="20"/>
  <c r="L8" i="17"/>
  <c r="E37" i="28" l="1"/>
  <c r="O28" i="28"/>
  <c r="P28" i="28" s="1"/>
  <c r="E133" i="13"/>
  <c r="D112" i="28"/>
  <c r="E146" i="13" s="1"/>
  <c r="E136" i="13"/>
  <c r="O24" i="28"/>
  <c r="B79" i="28"/>
  <c r="E143" i="13" s="1"/>
  <c r="O33" i="25"/>
  <c r="J23" i="28"/>
  <c r="D111" i="25"/>
  <c r="Q57" i="28"/>
  <c r="I9" i="28"/>
  <c r="I14" i="28" s="1"/>
  <c r="L12" i="28"/>
  <c r="B8" i="28"/>
  <c r="C101" i="28"/>
  <c r="G5" i="28"/>
  <c r="B7" i="28"/>
  <c r="L13" i="28"/>
  <c r="B9" i="28"/>
  <c r="F36" i="28"/>
  <c r="H36" i="28" s="1"/>
  <c r="B24" i="28"/>
  <c r="C9" i="28"/>
  <c r="B6" i="28"/>
  <c r="B11" i="28"/>
  <c r="B12" i="28" s="1"/>
  <c r="I6" i="28"/>
  <c r="C38" i="28"/>
  <c r="I38" i="28" s="1"/>
  <c r="J37" i="28"/>
  <c r="Q47" i="28"/>
  <c r="P29" i="28"/>
  <c r="Q29" i="28" s="1"/>
  <c r="R29" i="28" s="1"/>
  <c r="S29" i="28" s="1"/>
  <c r="C103" i="28"/>
  <c r="B91" i="28"/>
  <c r="G91" i="28" s="1"/>
  <c r="Q28" i="28"/>
  <c r="D101" i="28"/>
  <c r="E91" i="28"/>
  <c r="R21" i="28"/>
  <c r="O33" i="28"/>
  <c r="R48" i="28"/>
  <c r="R63" i="28"/>
  <c r="C92" i="28"/>
  <c r="I92" i="28" s="1"/>
  <c r="D102" i="28"/>
  <c r="K13" i="26"/>
  <c r="K10" i="26"/>
  <c r="J10" i="27"/>
  <c r="K10" i="27" s="1"/>
  <c r="B18" i="27"/>
  <c r="K15" i="27" s="1"/>
  <c r="K12" i="27"/>
  <c r="J12" i="27"/>
  <c r="L12" i="27"/>
  <c r="L11" i="26"/>
  <c r="J11" i="27"/>
  <c r="K11" i="27" s="1"/>
  <c r="L11" i="27" s="1"/>
  <c r="K11" i="26"/>
  <c r="K13" i="27"/>
  <c r="B18" i="26"/>
  <c r="K15" i="26" s="1"/>
  <c r="K12" i="26"/>
  <c r="L8" i="26"/>
  <c r="B12" i="26" s="1"/>
  <c r="B26" i="26" s="1"/>
  <c r="D27" i="26" s="1"/>
  <c r="L12" i="26"/>
  <c r="D26" i="27"/>
  <c r="B27" i="27"/>
  <c r="B28" i="27" s="1"/>
  <c r="R63" i="25"/>
  <c r="E90" i="25"/>
  <c r="E91" i="25" s="1"/>
  <c r="D9" i="25"/>
  <c r="E9" i="25" s="1"/>
  <c r="I15" i="25" s="1"/>
  <c r="D55" i="25" s="1"/>
  <c r="Q55" i="25" s="1"/>
  <c r="O28" i="25"/>
  <c r="P28" i="25" s="1"/>
  <c r="Q28" i="25" s="1"/>
  <c r="O24" i="25"/>
  <c r="B24" i="25"/>
  <c r="B27" i="25" s="1"/>
  <c r="E8" i="25"/>
  <c r="D108" i="25" s="1"/>
  <c r="D113" i="25" s="1"/>
  <c r="E10" i="25"/>
  <c r="B13" i="25"/>
  <c r="B14" i="25" s="1"/>
  <c r="Q47" i="25"/>
  <c r="P29" i="25"/>
  <c r="Q29" i="25" s="1"/>
  <c r="R29" i="25" s="1"/>
  <c r="S29" i="25" s="1"/>
  <c r="G36" i="25"/>
  <c r="F36" i="25"/>
  <c r="J23" i="25"/>
  <c r="C91" i="25"/>
  <c r="I91" i="25" s="1"/>
  <c r="D101" i="25"/>
  <c r="E37" i="25"/>
  <c r="J36" i="25"/>
  <c r="K7" i="25"/>
  <c r="L7" i="25" s="1"/>
  <c r="K8" i="25"/>
  <c r="L8" i="25" s="1"/>
  <c r="B78" i="25"/>
  <c r="C100" i="25"/>
  <c r="D90" i="25"/>
  <c r="BP167" i="14"/>
  <c r="O34" i="28" l="1"/>
  <c r="O35" i="28" s="1"/>
  <c r="E118" i="28"/>
  <c r="E131" i="28" s="1"/>
  <c r="B26" i="28"/>
  <c r="D23" i="28" s="1"/>
  <c r="E134" i="13"/>
  <c r="B37" i="28"/>
  <c r="O37" i="28"/>
  <c r="O38" i="28" s="1"/>
  <c r="O39" i="28" s="1"/>
  <c r="O40" i="28" s="1"/>
  <c r="P32" i="28" s="1"/>
  <c r="B27" i="28"/>
  <c r="H23" i="28"/>
  <c r="I23" i="28" s="1"/>
  <c r="K23" i="28" s="1"/>
  <c r="D37" i="28" s="1"/>
  <c r="L14" i="26"/>
  <c r="L19" i="26" s="1"/>
  <c r="B46" i="26" s="1"/>
  <c r="B50" i="26" s="1"/>
  <c r="O34" i="25"/>
  <c r="O37" i="25" s="1"/>
  <c r="O38" i="25" s="1"/>
  <c r="O39" i="25" s="1"/>
  <c r="O40" i="25" s="1"/>
  <c r="P32" i="25" s="1"/>
  <c r="C47" i="28"/>
  <c r="C55" i="28" s="1"/>
  <c r="B13" i="28"/>
  <c r="E26" i="27"/>
  <c r="K14" i="27"/>
  <c r="K19" i="27" s="1"/>
  <c r="B41" i="27" s="1"/>
  <c r="B44" i="27" s="1"/>
  <c r="D9" i="28"/>
  <c r="E9" i="28" s="1"/>
  <c r="I15" i="28" s="1"/>
  <c r="K8" i="28"/>
  <c r="L8" i="28" s="1"/>
  <c r="K7" i="28"/>
  <c r="L7" i="28" s="1"/>
  <c r="E8" i="28"/>
  <c r="E10" i="28"/>
  <c r="R28" i="28"/>
  <c r="J91" i="28"/>
  <c r="E92" i="28"/>
  <c r="C111" i="28"/>
  <c r="E103" i="28"/>
  <c r="J79" i="28"/>
  <c r="F91" i="28"/>
  <c r="K14" i="26"/>
  <c r="K19" i="26" s="1"/>
  <c r="B41" i="26" s="1"/>
  <c r="B44" i="26" s="1"/>
  <c r="L10" i="27"/>
  <c r="L14" i="27" s="1"/>
  <c r="L19" i="27" s="1"/>
  <c r="B46" i="27" s="1"/>
  <c r="J14" i="27"/>
  <c r="J19" i="27" s="1"/>
  <c r="B27" i="26"/>
  <c r="B28" i="26" s="1"/>
  <c r="D28" i="26" s="1"/>
  <c r="D26" i="26"/>
  <c r="D28" i="27"/>
  <c r="B29" i="27"/>
  <c r="B30" i="27" s="1"/>
  <c r="D54" i="25"/>
  <c r="Q54" i="25" s="1"/>
  <c r="J90" i="25"/>
  <c r="B37" i="25"/>
  <c r="B26" i="25"/>
  <c r="D23" i="25" s="1"/>
  <c r="E14" i="25"/>
  <c r="C47" i="25"/>
  <c r="C55" i="25" s="1"/>
  <c r="D109" i="25"/>
  <c r="D110" i="25"/>
  <c r="R28" i="25"/>
  <c r="C92" i="25"/>
  <c r="I92" i="25" s="1"/>
  <c r="J91" i="25"/>
  <c r="E117" i="25"/>
  <c r="E130" i="25" s="1"/>
  <c r="B90" i="25"/>
  <c r="C102" i="25"/>
  <c r="J37" i="25"/>
  <c r="C38" i="25"/>
  <c r="I38" i="25" s="1"/>
  <c r="H36" i="25"/>
  <c r="H23" i="25"/>
  <c r="I23" i="25" s="1"/>
  <c r="E83" i="16"/>
  <c r="C22" i="16"/>
  <c r="F128" i="13" s="1"/>
  <c r="C25" i="13"/>
  <c r="J39" i="13" l="1"/>
  <c r="C127" i="13"/>
  <c r="B14" i="28"/>
  <c r="E130" i="13"/>
  <c r="D24" i="28"/>
  <c r="D22" i="28"/>
  <c r="D26" i="28" s="1"/>
  <c r="K27" i="28"/>
  <c r="O35" i="25"/>
  <c r="O41" i="25" s="1"/>
  <c r="P30" i="25" s="1"/>
  <c r="P34" i="25" s="1"/>
  <c r="J24" i="28"/>
  <c r="O41" i="28"/>
  <c r="P30" i="28" s="1"/>
  <c r="P33" i="28" s="1"/>
  <c r="C49" i="28"/>
  <c r="F47" i="28" s="1"/>
  <c r="D49" i="28"/>
  <c r="B29" i="28" s="1"/>
  <c r="G37" i="28"/>
  <c r="E47" i="28"/>
  <c r="F37" i="28"/>
  <c r="H24" i="28" s="1"/>
  <c r="I24" i="28" s="1"/>
  <c r="B55" i="26"/>
  <c r="D49" i="25"/>
  <c r="B79" i="25" s="1"/>
  <c r="E14" i="28"/>
  <c r="D111" i="28"/>
  <c r="E111" i="28" s="1"/>
  <c r="D109" i="28"/>
  <c r="D114" i="28" s="1"/>
  <c r="D54" i="28"/>
  <c r="D110" i="28"/>
  <c r="D55" i="28"/>
  <c r="Q55" i="28" s="1"/>
  <c r="C93" i="28"/>
  <c r="I93" i="28" s="1"/>
  <c r="J92" i="28"/>
  <c r="C57" i="28"/>
  <c r="E57" i="28" s="1"/>
  <c r="J60" i="28" s="1"/>
  <c r="K60" i="28" s="1"/>
  <c r="S28" i="28"/>
  <c r="H79" i="28"/>
  <c r="I79" i="28" s="1"/>
  <c r="H91" i="28"/>
  <c r="B49" i="27"/>
  <c r="H107" i="13" s="1"/>
  <c r="H122" i="13" s="1"/>
  <c r="D59" i="25"/>
  <c r="Q59" i="25" s="1"/>
  <c r="E26" i="26"/>
  <c r="B29" i="26"/>
  <c r="B30" i="26" s="1"/>
  <c r="B31" i="26" s="1"/>
  <c r="B32" i="26" s="1"/>
  <c r="B31" i="27"/>
  <c r="B32" i="27" s="1"/>
  <c r="D30" i="27"/>
  <c r="E28" i="27"/>
  <c r="B55" i="27"/>
  <c r="C49" i="25"/>
  <c r="F46" i="25" s="1"/>
  <c r="E47" i="25"/>
  <c r="D22" i="25"/>
  <c r="D24" i="25"/>
  <c r="K27" i="25"/>
  <c r="C57" i="25"/>
  <c r="E57" i="25" s="1"/>
  <c r="J60" i="25" s="1"/>
  <c r="K60" i="25" s="1"/>
  <c r="E55" i="25"/>
  <c r="J59" i="25" s="1"/>
  <c r="K59" i="25" s="1"/>
  <c r="E102" i="25"/>
  <c r="C110" i="25"/>
  <c r="E110" i="25" s="1"/>
  <c r="J78" i="25"/>
  <c r="F90" i="25"/>
  <c r="K23" i="25"/>
  <c r="D37" i="25" s="1"/>
  <c r="S28" i="25"/>
  <c r="G90" i="25"/>
  <c r="AU178" i="14"/>
  <c r="AV178" i="14" s="1"/>
  <c r="AQ178" i="14"/>
  <c r="AJ178" i="14"/>
  <c r="AL178" i="14" s="1"/>
  <c r="AG178" i="14"/>
  <c r="AC178" i="14"/>
  <c r="O178" i="14"/>
  <c r="P178" i="14" s="1"/>
  <c r="L178" i="14"/>
  <c r="K178" i="14"/>
  <c r="E178" i="14"/>
  <c r="BM178" i="14" s="1"/>
  <c r="BM177" i="14"/>
  <c r="BN177" i="14" s="1"/>
  <c r="BG177" i="14"/>
  <c r="BH177" i="14" s="1"/>
  <c r="BA177" i="14"/>
  <c r="AZ177" i="14" s="1"/>
  <c r="AU177" i="14"/>
  <c r="AV177" i="14" s="1"/>
  <c r="AQ177" i="14"/>
  <c r="AL177" i="14"/>
  <c r="AJ177" i="14"/>
  <c r="AG177" i="14"/>
  <c r="AC177" i="14"/>
  <c r="AB177" i="14"/>
  <c r="T177" i="14"/>
  <c r="U177" i="14" s="1"/>
  <c r="O177" i="14"/>
  <c r="P177" i="14" s="1"/>
  <c r="L177" i="14"/>
  <c r="K177" i="14"/>
  <c r="I177" i="14"/>
  <c r="J177" i="14" s="1"/>
  <c r="BP176" i="14"/>
  <c r="BM176" i="14"/>
  <c r="BL176" i="14" s="1"/>
  <c r="BG176" i="14"/>
  <c r="BH176" i="14" s="1"/>
  <c r="BA176" i="14"/>
  <c r="BB176" i="14" s="1"/>
  <c r="AU176" i="14"/>
  <c r="AV176" i="14" s="1"/>
  <c r="AQ176" i="14"/>
  <c r="AL176" i="14"/>
  <c r="AJ176" i="14"/>
  <c r="AG176" i="14"/>
  <c r="AC176" i="14"/>
  <c r="AB176" i="14"/>
  <c r="T176" i="14"/>
  <c r="U176" i="14" s="1"/>
  <c r="O176" i="14"/>
  <c r="P176" i="14" s="1"/>
  <c r="L176" i="14"/>
  <c r="K176" i="14"/>
  <c r="I176" i="14"/>
  <c r="H176" i="14" s="1"/>
  <c r="BP175" i="14"/>
  <c r="BM175" i="14"/>
  <c r="BN175" i="14" s="1"/>
  <c r="BH175" i="14"/>
  <c r="BG175" i="14"/>
  <c r="BF175" i="14" s="1"/>
  <c r="BA175" i="14"/>
  <c r="BB175" i="14" s="1"/>
  <c r="AV175" i="14"/>
  <c r="AU175" i="14"/>
  <c r="AT175" i="14"/>
  <c r="AQ175" i="14"/>
  <c r="AJ175" i="14"/>
  <c r="AL175" i="14" s="1"/>
  <c r="AG175" i="14"/>
  <c r="AC175" i="14"/>
  <c r="AB175" i="14"/>
  <c r="T175" i="14"/>
  <c r="U175" i="14" s="1"/>
  <c r="O175" i="14"/>
  <c r="P175" i="14" s="1"/>
  <c r="L175" i="14"/>
  <c r="K175" i="14"/>
  <c r="I175" i="14"/>
  <c r="J175" i="14" s="1"/>
  <c r="H175" i="14"/>
  <c r="BP174" i="14"/>
  <c r="BM174" i="14"/>
  <c r="BN174" i="14" s="1"/>
  <c r="BG174" i="14"/>
  <c r="BH174" i="14" s="1"/>
  <c r="BB174" i="14"/>
  <c r="BA174" i="14"/>
  <c r="AZ174" i="14" s="1"/>
  <c r="AU174" i="14"/>
  <c r="AV174" i="14" s="1"/>
  <c r="AQ174" i="14"/>
  <c r="AL174" i="14"/>
  <c r="AJ174" i="14"/>
  <c r="AG174" i="14"/>
  <c r="AC174" i="14"/>
  <c r="AB174" i="14"/>
  <c r="T174" i="14"/>
  <c r="U174" i="14" s="1"/>
  <c r="Q174" i="14"/>
  <c r="O174" i="14"/>
  <c r="P174" i="14" s="1"/>
  <c r="L174" i="14"/>
  <c r="K174" i="14"/>
  <c r="I174" i="14"/>
  <c r="H174" i="14" s="1"/>
  <c r="BP173" i="14"/>
  <c r="BM173" i="14"/>
  <c r="BN173" i="14" s="1"/>
  <c r="BG173" i="14"/>
  <c r="BH173" i="14" s="1"/>
  <c r="BA173" i="14"/>
  <c r="BB173" i="14" s="1"/>
  <c r="AU173" i="14"/>
  <c r="AV173" i="14" s="1"/>
  <c r="AQ173" i="14"/>
  <c r="AL173" i="14"/>
  <c r="AJ173" i="14"/>
  <c r="AG173" i="14"/>
  <c r="AC173" i="14"/>
  <c r="AB173" i="14"/>
  <c r="T173" i="14"/>
  <c r="U173" i="14" s="1"/>
  <c r="Q173" i="14"/>
  <c r="O173" i="14"/>
  <c r="P173" i="14" s="1"/>
  <c r="L173" i="14"/>
  <c r="K173" i="14"/>
  <c r="I173" i="14"/>
  <c r="J173" i="14" s="1"/>
  <c r="H173" i="14"/>
  <c r="BP172" i="14"/>
  <c r="BM172" i="14"/>
  <c r="BN172" i="14" s="1"/>
  <c r="BG172" i="14"/>
  <c r="BH172" i="14" s="1"/>
  <c r="BB172" i="14"/>
  <c r="AZ172" i="14"/>
  <c r="AU172" i="14"/>
  <c r="AV172" i="14" s="1"/>
  <c r="AQ172" i="14"/>
  <c r="AJ172" i="14"/>
  <c r="AL172" i="14" s="1"/>
  <c r="AG172" i="14"/>
  <c r="AC172" i="14"/>
  <c r="AB172" i="14"/>
  <c r="T172" i="14"/>
  <c r="U172" i="14" s="1"/>
  <c r="Q172" i="14"/>
  <c r="O172" i="14"/>
  <c r="P172" i="14" s="1"/>
  <c r="N172" i="14"/>
  <c r="L172" i="14"/>
  <c r="K172" i="14"/>
  <c r="I172" i="14"/>
  <c r="J172" i="14" s="1"/>
  <c r="BP171" i="14"/>
  <c r="BN171" i="14"/>
  <c r="BL171" i="14"/>
  <c r="BH171" i="14"/>
  <c r="BF171" i="14"/>
  <c r="BB171" i="14"/>
  <c r="AZ171" i="14"/>
  <c r="AU171" i="14"/>
  <c r="AV171" i="14" s="1"/>
  <c r="AQ171" i="14"/>
  <c r="AL171" i="14"/>
  <c r="AG171" i="14"/>
  <c r="AC171" i="14"/>
  <c r="AB171" i="14"/>
  <c r="T171" i="14"/>
  <c r="U171" i="14" s="1"/>
  <c r="Q171" i="14"/>
  <c r="O171" i="14"/>
  <c r="P171" i="14" s="1"/>
  <c r="L171" i="14"/>
  <c r="K171" i="14"/>
  <c r="J171" i="14"/>
  <c r="I171" i="14"/>
  <c r="H171" i="14"/>
  <c r="BP170" i="14"/>
  <c r="BN170" i="14"/>
  <c r="BL170" i="14"/>
  <c r="BG170" i="14"/>
  <c r="BF170" i="14" s="1"/>
  <c r="BA170" i="14"/>
  <c r="BB170" i="14" s="1"/>
  <c r="AV170" i="14"/>
  <c r="AU170" i="14"/>
  <c r="AT170" i="14"/>
  <c r="AQ170" i="14"/>
  <c r="AL170" i="14"/>
  <c r="AG170" i="14"/>
  <c r="AC170" i="14"/>
  <c r="AB170" i="14"/>
  <c r="U170" i="14"/>
  <c r="T170" i="14"/>
  <c r="Q170" i="14"/>
  <c r="P170" i="14"/>
  <c r="O170" i="14"/>
  <c r="N170" i="14" s="1"/>
  <c r="L170" i="14"/>
  <c r="K170" i="14"/>
  <c r="I170" i="14"/>
  <c r="J170" i="14" s="1"/>
  <c r="BP169" i="14"/>
  <c r="BM169" i="14"/>
  <c r="BL169" i="14" s="1"/>
  <c r="BH169" i="14"/>
  <c r="BG169" i="14"/>
  <c r="BF169" i="14"/>
  <c r="BB169" i="14"/>
  <c r="BA169" i="14"/>
  <c r="AZ169" i="14" s="1"/>
  <c r="AU169" i="14"/>
  <c r="AV169" i="14" s="1"/>
  <c r="AQ169" i="14"/>
  <c r="AL169" i="14"/>
  <c r="AG169" i="14"/>
  <c r="AC169" i="14"/>
  <c r="AB169" i="14"/>
  <c r="T169" i="14"/>
  <c r="U169" i="14" s="1"/>
  <c r="Q169" i="14"/>
  <c r="P169" i="14"/>
  <c r="O169" i="14"/>
  <c r="N169" i="14"/>
  <c r="L169" i="14"/>
  <c r="K169" i="14"/>
  <c r="I169" i="14"/>
  <c r="J169" i="14" s="1"/>
  <c r="BP168" i="14"/>
  <c r="BN168" i="14"/>
  <c r="BM168" i="14"/>
  <c r="BL168" i="14" s="1"/>
  <c r="BG168" i="14"/>
  <c r="BH168" i="14" s="1"/>
  <c r="BB168" i="14"/>
  <c r="BA168" i="14"/>
  <c r="AZ168" i="14" s="1"/>
  <c r="AV168" i="14"/>
  <c r="AU168" i="14"/>
  <c r="AT168" i="14"/>
  <c r="AQ168" i="14"/>
  <c r="AL168" i="14"/>
  <c r="AG168" i="14"/>
  <c r="AC168" i="14"/>
  <c r="AB168" i="14"/>
  <c r="U168" i="14"/>
  <c r="T168" i="14"/>
  <c r="Q168" i="14"/>
  <c r="P168" i="14"/>
  <c r="O168" i="14"/>
  <c r="N168" i="14"/>
  <c r="L168" i="14"/>
  <c r="K168" i="14"/>
  <c r="I168" i="14"/>
  <c r="J168" i="14" s="1"/>
  <c r="BN167" i="14"/>
  <c r="BM167" i="14"/>
  <c r="BL167" i="14" s="1"/>
  <c r="BH167" i="14"/>
  <c r="BG167" i="14"/>
  <c r="BF167" i="14" s="1"/>
  <c r="BA167" i="14"/>
  <c r="BB167" i="14" s="1"/>
  <c r="AV167" i="14"/>
  <c r="AU167" i="14"/>
  <c r="AT167" i="14"/>
  <c r="AQ167" i="14"/>
  <c r="AL167" i="14"/>
  <c r="AG167" i="14"/>
  <c r="AC167" i="14"/>
  <c r="AB167" i="14"/>
  <c r="T167" i="14"/>
  <c r="U167" i="14" s="1"/>
  <c r="Q167" i="14"/>
  <c r="O167" i="14"/>
  <c r="P167" i="14" s="1"/>
  <c r="L167" i="14"/>
  <c r="K167" i="14"/>
  <c r="I167" i="14"/>
  <c r="J167" i="14" s="1"/>
  <c r="BP166" i="14"/>
  <c r="BM166" i="14"/>
  <c r="BN166" i="14" s="1"/>
  <c r="BG166" i="14"/>
  <c r="BH166" i="14" s="1"/>
  <c r="BB166" i="14"/>
  <c r="BA166" i="14"/>
  <c r="AZ166" i="14" s="1"/>
  <c r="AV166" i="14"/>
  <c r="AU166" i="14"/>
  <c r="AT166" i="14"/>
  <c r="AQ166" i="14"/>
  <c r="AL166" i="14"/>
  <c r="AG166" i="14"/>
  <c r="AC166" i="14"/>
  <c r="AB166" i="14"/>
  <c r="U166" i="14"/>
  <c r="T166" i="14"/>
  <c r="Q166" i="14"/>
  <c r="P166" i="14"/>
  <c r="O166" i="14"/>
  <c r="N166" i="14" s="1"/>
  <c r="L166" i="14"/>
  <c r="K166" i="14"/>
  <c r="I166" i="14"/>
  <c r="J166" i="14" s="1"/>
  <c r="BM165" i="14"/>
  <c r="BL165" i="14" s="1"/>
  <c r="BG165" i="14"/>
  <c r="BH165" i="14" s="1"/>
  <c r="BA165" i="14"/>
  <c r="BB165" i="14" s="1"/>
  <c r="AU165" i="14"/>
  <c r="AV165" i="14" s="1"/>
  <c r="AQ165" i="14"/>
  <c r="AL165" i="14"/>
  <c r="AG165" i="14"/>
  <c r="AC165" i="14"/>
  <c r="AB165" i="14"/>
  <c r="U165" i="14"/>
  <c r="T165" i="14"/>
  <c r="Q165" i="14"/>
  <c r="O165" i="14"/>
  <c r="P165" i="14" s="1"/>
  <c r="L165" i="14"/>
  <c r="K165" i="14"/>
  <c r="I165" i="14"/>
  <c r="J165" i="14" s="1"/>
  <c r="BM164" i="14"/>
  <c r="BN164" i="14" s="1"/>
  <c r="BG164" i="14"/>
  <c r="BH164" i="14" s="1"/>
  <c r="BF164" i="14"/>
  <c r="BA164" i="14"/>
  <c r="BB164" i="14" s="1"/>
  <c r="AV164" i="14"/>
  <c r="AU164" i="14"/>
  <c r="AT164" i="14" s="1"/>
  <c r="AQ164" i="14"/>
  <c r="AL164" i="14"/>
  <c r="AG164" i="14"/>
  <c r="AC164" i="14"/>
  <c r="AB164" i="14"/>
  <c r="T164" i="14"/>
  <c r="U164" i="14" s="1"/>
  <c r="Q164" i="14"/>
  <c r="O164" i="14"/>
  <c r="P164" i="14" s="1"/>
  <c r="L164" i="14"/>
  <c r="K164" i="14"/>
  <c r="I164" i="14"/>
  <c r="J164" i="14" s="1"/>
  <c r="BP163" i="14"/>
  <c r="BM163" i="14"/>
  <c r="BN163" i="14" s="1"/>
  <c r="BG163" i="14"/>
  <c r="BH163" i="14" s="1"/>
  <c r="BF163" i="14"/>
  <c r="BA163" i="14"/>
  <c r="BB163" i="14" s="1"/>
  <c r="AU163" i="14"/>
  <c r="AV163" i="14" s="1"/>
  <c r="AQ163" i="14"/>
  <c r="AL163" i="14"/>
  <c r="AG163" i="14"/>
  <c r="AC163" i="14"/>
  <c r="AB163" i="14"/>
  <c r="T163" i="14"/>
  <c r="U163" i="14" s="1"/>
  <c r="Q163" i="14"/>
  <c r="P163" i="14"/>
  <c r="O163" i="14"/>
  <c r="N163" i="14" s="1"/>
  <c r="L163" i="14"/>
  <c r="K163" i="14"/>
  <c r="J163" i="14"/>
  <c r="I163" i="14"/>
  <c r="H163" i="14" s="1"/>
  <c r="BP162" i="14"/>
  <c r="BM162" i="14"/>
  <c r="BN162" i="14" s="1"/>
  <c r="BH162" i="14"/>
  <c r="BG162" i="14"/>
  <c r="BF162" i="14"/>
  <c r="BA162" i="14"/>
  <c r="BB162" i="14" s="1"/>
  <c r="AU162" i="14"/>
  <c r="AV162" i="14" s="1"/>
  <c r="AT162" i="14"/>
  <c r="AQ162" i="14"/>
  <c r="AL162" i="14"/>
  <c r="AG162" i="14"/>
  <c r="AC162" i="14"/>
  <c r="AB162" i="14"/>
  <c r="T162" i="14"/>
  <c r="U162" i="14" s="1"/>
  <c r="O162" i="14"/>
  <c r="N162" i="14" s="1"/>
  <c r="L162" i="14"/>
  <c r="K162" i="14"/>
  <c r="J162" i="14"/>
  <c r="I162" i="14"/>
  <c r="H162" i="14" s="1"/>
  <c r="BP161" i="14"/>
  <c r="BN161" i="14"/>
  <c r="BM161" i="14"/>
  <c r="BL161" i="14"/>
  <c r="BG161" i="14"/>
  <c r="BF161" i="14" s="1"/>
  <c r="BB161" i="14"/>
  <c r="BA161" i="14"/>
  <c r="AZ161" i="14" s="1"/>
  <c r="AU161" i="14"/>
  <c r="AV161" i="14" s="1"/>
  <c r="AQ161" i="14"/>
  <c r="AJ161" i="14"/>
  <c r="AL161" i="14" s="1"/>
  <c r="AG161" i="14"/>
  <c r="AC161" i="14"/>
  <c r="AB161" i="14"/>
  <c r="U161" i="14"/>
  <c r="T161" i="14"/>
  <c r="O161" i="14"/>
  <c r="N161" i="14" s="1"/>
  <c r="L161" i="14"/>
  <c r="K161" i="14"/>
  <c r="I161" i="14"/>
  <c r="J161" i="14" s="1"/>
  <c r="BM160" i="14"/>
  <c r="BN160" i="14" s="1"/>
  <c r="BL160" i="14"/>
  <c r="BG160" i="14"/>
  <c r="BH160" i="14" s="1"/>
  <c r="BB160" i="14"/>
  <c r="BA160" i="14"/>
  <c r="AZ160" i="14"/>
  <c r="AU160" i="14"/>
  <c r="AV160" i="14" s="1"/>
  <c r="AQ160" i="14"/>
  <c r="AJ160" i="14"/>
  <c r="AL160" i="14" s="1"/>
  <c r="AG160" i="14"/>
  <c r="AC160" i="14"/>
  <c r="AB160" i="14"/>
  <c r="U160" i="14"/>
  <c r="T160" i="14"/>
  <c r="P160" i="14"/>
  <c r="O160" i="14"/>
  <c r="N160" i="14" s="1"/>
  <c r="L160" i="14"/>
  <c r="K160" i="14"/>
  <c r="I160" i="14"/>
  <c r="J160" i="14" s="1"/>
  <c r="E79" i="16"/>
  <c r="H177" i="14" l="1"/>
  <c r="BB177" i="14"/>
  <c r="E30" i="27"/>
  <c r="H37" i="28"/>
  <c r="E79" i="25"/>
  <c r="P34" i="28"/>
  <c r="F48" i="28"/>
  <c r="E80" i="28"/>
  <c r="F46" i="28"/>
  <c r="C58" i="28"/>
  <c r="C59" i="28"/>
  <c r="B80" i="28"/>
  <c r="B29" i="25"/>
  <c r="E55" i="28"/>
  <c r="F48" i="25"/>
  <c r="Q54" i="28"/>
  <c r="D59" i="28"/>
  <c r="Q59" i="28" s="1"/>
  <c r="K79" i="28"/>
  <c r="D92" i="28" s="1"/>
  <c r="K24" i="28"/>
  <c r="B38" i="28" s="1"/>
  <c r="D30" i="26"/>
  <c r="E30" i="26" s="1"/>
  <c r="B50" i="27"/>
  <c r="H49" i="13"/>
  <c r="E28" i="26"/>
  <c r="D32" i="27"/>
  <c r="B33" i="27"/>
  <c r="B34" i="27" s="1"/>
  <c r="J176" i="14"/>
  <c r="BH161" i="14"/>
  <c r="BL163" i="14"/>
  <c r="AT176" i="14"/>
  <c r="H165" i="14"/>
  <c r="N167" i="14"/>
  <c r="AT169" i="14"/>
  <c r="H172" i="14"/>
  <c r="AZ175" i="14"/>
  <c r="N176" i="14"/>
  <c r="AZ176" i="14"/>
  <c r="P162" i="14"/>
  <c r="AT172" i="14"/>
  <c r="BN169" i="14"/>
  <c r="H161" i="14"/>
  <c r="AT171" i="14"/>
  <c r="N178" i="14"/>
  <c r="D26" i="25"/>
  <c r="AT163" i="14"/>
  <c r="N164" i="14"/>
  <c r="AZ165" i="14"/>
  <c r="BF166" i="14"/>
  <c r="BF168" i="14"/>
  <c r="AZ170" i="14"/>
  <c r="BH170" i="14"/>
  <c r="AZ164" i="14"/>
  <c r="N171" i="14"/>
  <c r="P161" i="14"/>
  <c r="AT160" i="14"/>
  <c r="AZ162" i="14"/>
  <c r="C59" i="25"/>
  <c r="F47" i="25"/>
  <c r="B33" i="26"/>
  <c r="B34" i="26" s="1"/>
  <c r="D32" i="26"/>
  <c r="P33" i="25"/>
  <c r="P37" i="25"/>
  <c r="P38" i="25" s="1"/>
  <c r="P39" i="25" s="1"/>
  <c r="P40" i="25" s="1"/>
  <c r="Q32" i="25" s="1"/>
  <c r="P35" i="25"/>
  <c r="B91" i="25"/>
  <c r="C101" i="25"/>
  <c r="B81" i="25"/>
  <c r="D79" i="25" s="1"/>
  <c r="B82" i="25"/>
  <c r="C82" i="25" s="1"/>
  <c r="G37" i="25"/>
  <c r="J24" i="25"/>
  <c r="F37" i="25"/>
  <c r="H78" i="25"/>
  <c r="I78" i="25" s="1"/>
  <c r="H90" i="25"/>
  <c r="BN178" i="14"/>
  <c r="BL178" i="14"/>
  <c r="BN165" i="14"/>
  <c r="BL172" i="14"/>
  <c r="AZ173" i="14"/>
  <c r="J174" i="14"/>
  <c r="BL174" i="14"/>
  <c r="BN176" i="14"/>
  <c r="BF177" i="14"/>
  <c r="AT178" i="14"/>
  <c r="N165" i="14"/>
  <c r="AT165" i="14"/>
  <c r="H166" i="14"/>
  <c r="H168" i="14"/>
  <c r="H170" i="14"/>
  <c r="BF173" i="14"/>
  <c r="N174" i="14"/>
  <c r="AT174" i="14"/>
  <c r="BL177" i="14"/>
  <c r="T178" i="14"/>
  <c r="U178" i="14" s="1"/>
  <c r="BA178" i="14"/>
  <c r="AT161" i="14"/>
  <c r="H164" i="14"/>
  <c r="BL166" i="14"/>
  <c r="AZ167" i="14"/>
  <c r="BL175" i="14"/>
  <c r="BL173" i="14"/>
  <c r="AT177" i="14"/>
  <c r="AB178" i="14"/>
  <c r="BF160" i="14"/>
  <c r="BL162" i="14"/>
  <c r="AZ163" i="14"/>
  <c r="BL164" i="14"/>
  <c r="BF176" i="14"/>
  <c r="N177" i="14"/>
  <c r="BG178" i="14"/>
  <c r="H160" i="14"/>
  <c r="BF165" i="14"/>
  <c r="H167" i="14"/>
  <c r="H169" i="14"/>
  <c r="BF172" i="14"/>
  <c r="N173" i="14"/>
  <c r="AT173" i="14"/>
  <c r="BF174" i="14"/>
  <c r="N175" i="14"/>
  <c r="I178" i="14"/>
  <c r="J59" i="28" l="1"/>
  <c r="K59" i="28" s="1"/>
  <c r="B92" i="28"/>
  <c r="G92" i="28" s="1"/>
  <c r="E144" i="13"/>
  <c r="P35" i="28"/>
  <c r="P37" i="28"/>
  <c r="P38" i="28" s="1"/>
  <c r="P39" i="28" s="1"/>
  <c r="P40" i="28" s="1"/>
  <c r="Q32" i="28" s="1"/>
  <c r="F49" i="28"/>
  <c r="F49" i="25"/>
  <c r="B83" i="28"/>
  <c r="B82" i="28"/>
  <c r="D80" i="28" s="1"/>
  <c r="C102" i="28"/>
  <c r="C110" i="28" s="1"/>
  <c r="E59" i="28"/>
  <c r="F38" i="28"/>
  <c r="J25" i="28"/>
  <c r="G38" i="28"/>
  <c r="J80" i="28"/>
  <c r="F92" i="28"/>
  <c r="D34" i="27"/>
  <c r="B35" i="27"/>
  <c r="B36" i="27" s="1"/>
  <c r="E32" i="27"/>
  <c r="E32" i="26"/>
  <c r="B35" i="26"/>
  <c r="B36" i="26" s="1"/>
  <c r="D34" i="26"/>
  <c r="P41" i="25"/>
  <c r="Q30" i="25" s="1"/>
  <c r="Q34" i="25" s="1"/>
  <c r="K82" i="25"/>
  <c r="D77" i="25"/>
  <c r="D78" i="25"/>
  <c r="H37" i="25"/>
  <c r="H24" i="25"/>
  <c r="I24" i="25" s="1"/>
  <c r="C109" i="25"/>
  <c r="E101" i="25"/>
  <c r="D103" i="25"/>
  <c r="B83" i="25" s="1"/>
  <c r="C103" i="25"/>
  <c r="K78" i="25"/>
  <c r="D91" i="25" s="1"/>
  <c r="G91" i="25" s="1"/>
  <c r="J178" i="14"/>
  <c r="H178" i="14"/>
  <c r="BB178" i="14"/>
  <c r="AZ178" i="14"/>
  <c r="BH178" i="14"/>
  <c r="BF178" i="14"/>
  <c r="L15" i="16"/>
  <c r="E18" i="13"/>
  <c r="E22" i="13"/>
  <c r="E21" i="13"/>
  <c r="E19" i="13"/>
  <c r="E17" i="13"/>
  <c r="D17" i="13"/>
  <c r="C83" i="28" l="1"/>
  <c r="E142" i="13"/>
  <c r="E102" i="28"/>
  <c r="C104" i="28"/>
  <c r="F102" i="28" s="1"/>
  <c r="P41" i="28"/>
  <c r="Q30" i="28" s="1"/>
  <c r="Q34" i="28" s="1"/>
  <c r="Q35" i="28" s="1"/>
  <c r="D104" i="28"/>
  <c r="B84" i="28" s="1"/>
  <c r="D79" i="28"/>
  <c r="D78" i="28"/>
  <c r="K83" i="28"/>
  <c r="H38" i="28"/>
  <c r="H25" i="28"/>
  <c r="I25" i="28" s="1"/>
  <c r="H92" i="28"/>
  <c r="H80" i="28"/>
  <c r="I80" i="28" s="1"/>
  <c r="E110" i="28"/>
  <c r="C112" i="28"/>
  <c r="E112" i="28" s="1"/>
  <c r="J115" i="28" s="1"/>
  <c r="B37" i="27"/>
  <c r="D36" i="27"/>
  <c r="F9" i="27"/>
  <c r="F10" i="27" s="1"/>
  <c r="E34" i="27"/>
  <c r="B37" i="26"/>
  <c r="D36" i="26"/>
  <c r="F9" i="26"/>
  <c r="F10" i="26" s="1"/>
  <c r="E34" i="26"/>
  <c r="Q33" i="25"/>
  <c r="D81" i="25"/>
  <c r="F100" i="25"/>
  <c r="F102" i="25"/>
  <c r="F101" i="25"/>
  <c r="E109" i="25"/>
  <c r="C111" i="25"/>
  <c r="E111" i="25" s="1"/>
  <c r="J114" i="25" s="1"/>
  <c r="K24" i="25"/>
  <c r="B38" i="25" s="1"/>
  <c r="F91" i="25"/>
  <c r="J79" i="25"/>
  <c r="Q35" i="25"/>
  <c r="Q37" i="25"/>
  <c r="Q38" i="25" s="1"/>
  <c r="Q39" i="25" s="1"/>
  <c r="Q40" i="25" s="1"/>
  <c r="R32" i="25" s="1"/>
  <c r="Q33" i="28" l="1"/>
  <c r="C114" i="28"/>
  <c r="E114" i="28" s="1"/>
  <c r="F103" i="28"/>
  <c r="F101" i="28"/>
  <c r="C113" i="28"/>
  <c r="Q37" i="28"/>
  <c r="Q38" i="28" s="1"/>
  <c r="Q39" i="28" s="1"/>
  <c r="Q40" i="28" s="1"/>
  <c r="R32" i="28" s="1"/>
  <c r="D82" i="28"/>
  <c r="E36" i="27"/>
  <c r="K80" i="28"/>
  <c r="B93" i="28" s="1"/>
  <c r="K115" i="28"/>
  <c r="I132" i="28"/>
  <c r="K132" i="28" s="1"/>
  <c r="L132" i="28" s="1"/>
  <c r="J114" i="28"/>
  <c r="I26" i="28"/>
  <c r="K25" i="28"/>
  <c r="K26" i="28" s="1"/>
  <c r="F20" i="27"/>
  <c r="B53" i="27"/>
  <c r="F11" i="27"/>
  <c r="F12" i="27" s="1"/>
  <c r="H45" i="13" s="1"/>
  <c r="F19" i="27"/>
  <c r="D53" i="27"/>
  <c r="E36" i="26"/>
  <c r="F20" i="26"/>
  <c r="B53" i="26"/>
  <c r="F11" i="26"/>
  <c r="F12" i="26" s="1"/>
  <c r="F19" i="26"/>
  <c r="D53" i="26"/>
  <c r="J113" i="25"/>
  <c r="K113" i="25" s="1"/>
  <c r="Q41" i="25"/>
  <c r="R30" i="25" s="1"/>
  <c r="R33" i="25" s="1"/>
  <c r="F103" i="25"/>
  <c r="F38" i="25"/>
  <c r="J25" i="25"/>
  <c r="G38" i="25"/>
  <c r="I131" i="25"/>
  <c r="K131" i="25" s="1"/>
  <c r="L131" i="25" s="1"/>
  <c r="K114" i="25"/>
  <c r="H91" i="25"/>
  <c r="H79" i="25"/>
  <c r="I79" i="25" s="1"/>
  <c r="F104" i="28" l="1"/>
  <c r="Q41" i="28"/>
  <c r="R30" i="28" s="1"/>
  <c r="R34" i="28" s="1"/>
  <c r="H26" i="28"/>
  <c r="K28" i="28"/>
  <c r="K29" i="28" s="1"/>
  <c r="K30" i="28"/>
  <c r="C50" i="28"/>
  <c r="F93" i="28"/>
  <c r="J81" i="28"/>
  <c r="G93" i="28"/>
  <c r="I131" i="28"/>
  <c r="K131" i="28" s="1"/>
  <c r="L131" i="28" s="1"/>
  <c r="K114" i="28"/>
  <c r="B52" i="27"/>
  <c r="B54" i="27" s="1"/>
  <c r="B57" i="27" s="1"/>
  <c r="F21" i="27"/>
  <c r="B63" i="27"/>
  <c r="H46" i="13" s="1"/>
  <c r="F18" i="27"/>
  <c r="F17" i="27"/>
  <c r="F16" i="27"/>
  <c r="D52" i="27"/>
  <c r="F15" i="27"/>
  <c r="R34" i="25"/>
  <c r="R37" i="25" s="1"/>
  <c r="R38" i="25" s="1"/>
  <c r="R39" i="25" s="1"/>
  <c r="R40" i="25" s="1"/>
  <c r="B52" i="26"/>
  <c r="B54" i="26" s="1"/>
  <c r="B57" i="26" s="1"/>
  <c r="F21" i="26"/>
  <c r="B63" i="26"/>
  <c r="J46" i="13" s="1"/>
  <c r="F17" i="26"/>
  <c r="F18" i="26"/>
  <c r="F16" i="26"/>
  <c r="D52" i="26"/>
  <c r="F15" i="26"/>
  <c r="I130" i="25"/>
  <c r="K130" i="25" s="1"/>
  <c r="L130" i="25" s="1"/>
  <c r="H38" i="25"/>
  <c r="H25" i="25"/>
  <c r="I25" i="25" s="1"/>
  <c r="K79" i="25"/>
  <c r="B92" i="25" s="1"/>
  <c r="R33" i="28" l="1"/>
  <c r="R37" i="28"/>
  <c r="R38" i="28" s="1"/>
  <c r="R39" i="28" s="1"/>
  <c r="R40" i="28" s="1"/>
  <c r="S32" i="28" s="1"/>
  <c r="R35" i="28"/>
  <c r="R35" i="25"/>
  <c r="R41" i="25" s="1"/>
  <c r="S30" i="25" s="1"/>
  <c r="H81" i="28"/>
  <c r="I81" i="28" s="1"/>
  <c r="H93" i="28"/>
  <c r="E70" i="28"/>
  <c r="C51" i="28"/>
  <c r="B58" i="27"/>
  <c r="B59" i="27" s="1"/>
  <c r="B61" i="27"/>
  <c r="B62" i="27" s="1"/>
  <c r="B58" i="26"/>
  <c r="B59" i="26" s="1"/>
  <c r="B61" i="26"/>
  <c r="B62" i="26" s="1"/>
  <c r="S32" i="25"/>
  <c r="G92" i="25"/>
  <c r="F92" i="25"/>
  <c r="J80" i="25"/>
  <c r="I26" i="25"/>
  <c r="K25" i="25"/>
  <c r="K26" i="25" s="1"/>
  <c r="E135" i="13" l="1"/>
  <c r="E71" i="28"/>
  <c r="E139" i="13" s="1"/>
  <c r="R41" i="28"/>
  <c r="S30" i="28" s="1"/>
  <c r="S34" i="28" s="1"/>
  <c r="S37" i="28" s="1"/>
  <c r="S38" i="28" s="1"/>
  <c r="S39" i="28" s="1"/>
  <c r="S40" i="28" s="1"/>
  <c r="R23" i="28" s="1"/>
  <c r="C54" i="28"/>
  <c r="E54" i="28" s="1"/>
  <c r="J58" i="28" s="1"/>
  <c r="I82" i="28"/>
  <c r="K81" i="28"/>
  <c r="K82" i="28" s="1"/>
  <c r="S33" i="25"/>
  <c r="S34" i="25"/>
  <c r="H26" i="25"/>
  <c r="K30" i="25"/>
  <c r="K28" i="25"/>
  <c r="K29" i="25" s="1"/>
  <c r="C50" i="25"/>
  <c r="H92" i="25"/>
  <c r="H80" i="25"/>
  <c r="I80" i="25" s="1"/>
  <c r="D51" i="13"/>
  <c r="D50" i="13"/>
  <c r="S35" i="28" l="1"/>
  <c r="S33" i="28"/>
  <c r="R22" i="28"/>
  <c r="P47" i="28" s="1"/>
  <c r="P49" i="28" s="1"/>
  <c r="S47" i="28" s="1"/>
  <c r="K86" i="28"/>
  <c r="K84" i="28"/>
  <c r="K85" i="28" s="1"/>
  <c r="C105" i="28"/>
  <c r="H82" i="28"/>
  <c r="K58" i="28"/>
  <c r="S35" i="25"/>
  <c r="S37" i="25"/>
  <c r="S38" i="25" s="1"/>
  <c r="S39" i="25" s="1"/>
  <c r="S40" i="25" s="1"/>
  <c r="R23" i="25" s="1"/>
  <c r="R22" i="25"/>
  <c r="P47" i="25" s="1"/>
  <c r="I81" i="25"/>
  <c r="K80" i="25"/>
  <c r="K81" i="25" s="1"/>
  <c r="C51" i="25"/>
  <c r="D57" i="16"/>
  <c r="F136" i="13" s="1"/>
  <c r="G136" i="13" s="1"/>
  <c r="B22" i="16"/>
  <c r="R24" i="25" l="1"/>
  <c r="P50" i="25" s="1"/>
  <c r="P55" i="28"/>
  <c r="R55" i="28" s="1"/>
  <c r="R47" i="28"/>
  <c r="Q49" i="28"/>
  <c r="R24" i="28"/>
  <c r="P50" i="28" s="1"/>
  <c r="P51" i="28" s="1"/>
  <c r="S41" i="28"/>
  <c r="S46" i="28"/>
  <c r="S48" i="28"/>
  <c r="C106" i="28"/>
  <c r="E125" i="28"/>
  <c r="S41" i="25"/>
  <c r="C54" i="25"/>
  <c r="E54" i="25" s="1"/>
  <c r="C58" i="25"/>
  <c r="R47" i="25"/>
  <c r="P55" i="25"/>
  <c r="Q49" i="25"/>
  <c r="P49" i="25"/>
  <c r="K85" i="25"/>
  <c r="K83" i="25"/>
  <c r="K84" i="25" s="1"/>
  <c r="C104" i="25"/>
  <c r="H81" i="25"/>
  <c r="D19" i="13"/>
  <c r="D21" i="13"/>
  <c r="D22" i="13"/>
  <c r="D18" i="13"/>
  <c r="C44" i="13"/>
  <c r="K8" i="20"/>
  <c r="E39" i="20"/>
  <c r="B10" i="20"/>
  <c r="B9" i="20"/>
  <c r="B12" i="20"/>
  <c r="B8" i="20"/>
  <c r="E145" i="13" l="1"/>
  <c r="E45" i="13"/>
  <c r="P57" i="28"/>
  <c r="R57" i="28" s="1"/>
  <c r="P58" i="28"/>
  <c r="P59" i="28"/>
  <c r="R59" i="28" s="1"/>
  <c r="P54" i="28"/>
  <c r="R54" i="28" s="1"/>
  <c r="S49" i="28"/>
  <c r="E135" i="28"/>
  <c r="C109" i="28"/>
  <c r="E109" i="28" s="1"/>
  <c r="F114" i="28"/>
  <c r="E126" i="28"/>
  <c r="K10" i="20"/>
  <c r="L11" i="20"/>
  <c r="K11" i="20"/>
  <c r="L10" i="20"/>
  <c r="L12" i="20"/>
  <c r="J58" i="25"/>
  <c r="C105" i="25"/>
  <c r="P57" i="25"/>
  <c r="R57" i="25" s="1"/>
  <c r="R55" i="25"/>
  <c r="S48" i="25"/>
  <c r="P51" i="25"/>
  <c r="S46" i="25"/>
  <c r="S47" i="25"/>
  <c r="E59" i="25"/>
  <c r="E70" i="25"/>
  <c r="B11" i="20"/>
  <c r="K13" i="20"/>
  <c r="F8" i="20"/>
  <c r="K12" i="20"/>
  <c r="B18" i="20"/>
  <c r="K15" i="20" s="1"/>
  <c r="D118" i="13"/>
  <c r="D117" i="13"/>
  <c r="D52" i="13"/>
  <c r="D54" i="13"/>
  <c r="O84" i="13"/>
  <c r="P84" i="13" s="1"/>
  <c r="O88" i="13"/>
  <c r="P88" i="13" s="1"/>
  <c r="H50" i="13" s="1"/>
  <c r="J34" i="13"/>
  <c r="I34" i="13"/>
  <c r="G34" i="13"/>
  <c r="D34" i="13"/>
  <c r="J33" i="13"/>
  <c r="I33" i="13"/>
  <c r="G33" i="13"/>
  <c r="D33" i="13"/>
  <c r="C33" i="13"/>
  <c r="J27" i="13"/>
  <c r="J104" i="13" s="1"/>
  <c r="I27" i="13"/>
  <c r="I104" i="13" s="1"/>
  <c r="G27" i="13"/>
  <c r="G104" i="13" s="1"/>
  <c r="D27" i="13"/>
  <c r="D104" i="13" s="1"/>
  <c r="C27" i="13"/>
  <c r="C104" i="13" s="1"/>
  <c r="C30" i="13"/>
  <c r="E30" i="13" s="1"/>
  <c r="E46" i="13" l="1"/>
  <c r="E149" i="13"/>
  <c r="E49" i="13"/>
  <c r="J113" i="28"/>
  <c r="F30" i="13"/>
  <c r="H30" i="13"/>
  <c r="E125" i="25"/>
  <c r="G46" i="13" s="1"/>
  <c r="S49" i="25"/>
  <c r="K58" i="25"/>
  <c r="P58" i="25"/>
  <c r="P54" i="25"/>
  <c r="R54" i="25" s="1"/>
  <c r="P59" i="25"/>
  <c r="R59" i="25" s="1"/>
  <c r="C113" i="25"/>
  <c r="E134" i="25"/>
  <c r="C112" i="25"/>
  <c r="C108" i="25"/>
  <c r="E108" i="25" s="1"/>
  <c r="L14" i="20"/>
  <c r="L19" i="20" s="1"/>
  <c r="K14" i="20"/>
  <c r="K19" i="20" s="1"/>
  <c r="B41" i="20" s="1"/>
  <c r="B44" i="20" s="1"/>
  <c r="B26" i="20"/>
  <c r="K113" i="28" l="1"/>
  <c r="I130" i="28"/>
  <c r="J112" i="25"/>
  <c r="E113" i="25"/>
  <c r="F113" i="25" s="1"/>
  <c r="E124" i="25"/>
  <c r="B27" i="20"/>
  <c r="B28" i="20" s="1"/>
  <c r="D26" i="20"/>
  <c r="D27" i="20"/>
  <c r="B46" i="20"/>
  <c r="K130" i="28" l="1"/>
  <c r="K112" i="25"/>
  <c r="I129" i="25"/>
  <c r="B29" i="20"/>
  <c r="B30" i="20" s="1"/>
  <c r="D28" i="20"/>
  <c r="B55" i="20"/>
  <c r="B50" i="20"/>
  <c r="E26" i="20"/>
  <c r="E39" i="17"/>
  <c r="J15" i="17"/>
  <c r="B10" i="17"/>
  <c r="B9" i="17"/>
  <c r="B12" i="17"/>
  <c r="K8" i="17"/>
  <c r="B8" i="17"/>
  <c r="B18" i="17" s="1"/>
  <c r="C34" i="13"/>
  <c r="H34" i="13" s="1"/>
  <c r="J29" i="13"/>
  <c r="I29" i="13"/>
  <c r="G29" i="13"/>
  <c r="D29" i="13"/>
  <c r="C29" i="13"/>
  <c r="L14" i="16"/>
  <c r="C24" i="16" s="1"/>
  <c r="B5" i="16"/>
  <c r="E116" i="16"/>
  <c r="E115" i="16"/>
  <c r="D103" i="16"/>
  <c r="E93" i="16"/>
  <c r="J93" i="16" s="1"/>
  <c r="D93" i="16"/>
  <c r="C91" i="16"/>
  <c r="I91" i="16" s="1"/>
  <c r="B78" i="16"/>
  <c r="Q61" i="16"/>
  <c r="R61" i="16" s="1"/>
  <c r="E61" i="16"/>
  <c r="Q60" i="16"/>
  <c r="R60" i="16" s="1"/>
  <c r="E60" i="16"/>
  <c r="Q57" i="16"/>
  <c r="Q56" i="16"/>
  <c r="P56" i="16"/>
  <c r="Q48" i="16"/>
  <c r="D48" i="16"/>
  <c r="C48" i="16"/>
  <c r="C56" i="16" s="1"/>
  <c r="E56" i="16" s="1"/>
  <c r="P46" i="16"/>
  <c r="R63" i="16" s="1"/>
  <c r="C46" i="16"/>
  <c r="E63" i="16" s="1"/>
  <c r="E38" i="16"/>
  <c r="J38" i="16" s="1"/>
  <c r="D38" i="16"/>
  <c r="D36" i="16"/>
  <c r="C36" i="16"/>
  <c r="I36" i="16" s="1"/>
  <c r="B36" i="16"/>
  <c r="O32" i="16"/>
  <c r="R21" i="16" s="1"/>
  <c r="O28" i="16"/>
  <c r="P28" i="16" s="1"/>
  <c r="O24" i="16"/>
  <c r="Q46" i="16"/>
  <c r="O21" i="16"/>
  <c r="I10" i="16"/>
  <c r="I8" i="16"/>
  <c r="G36" i="16" l="1"/>
  <c r="L130" i="28"/>
  <c r="R56" i="16"/>
  <c r="K129" i="25"/>
  <c r="F36" i="16"/>
  <c r="I9" i="16"/>
  <c r="I14" i="16" s="1"/>
  <c r="B10" i="16"/>
  <c r="E48" i="16"/>
  <c r="J23" i="16"/>
  <c r="E28" i="20"/>
  <c r="B79" i="16"/>
  <c r="B31" i="20"/>
  <c r="B32" i="20" s="1"/>
  <c r="D30" i="20"/>
  <c r="J13" i="17"/>
  <c r="K13" i="17"/>
  <c r="K15" i="17"/>
  <c r="J10" i="17"/>
  <c r="L12" i="17"/>
  <c r="B11" i="17"/>
  <c r="F8" i="17"/>
  <c r="J11" i="17"/>
  <c r="K11" i="17" s="1"/>
  <c r="L11" i="17" s="1"/>
  <c r="J12" i="17"/>
  <c r="K12" i="17"/>
  <c r="L12" i="16"/>
  <c r="L13" i="16"/>
  <c r="B8" i="16"/>
  <c r="B9" i="16"/>
  <c r="I6" i="16"/>
  <c r="K8" i="16" s="1"/>
  <c r="L8" i="16" s="1"/>
  <c r="C9" i="16"/>
  <c r="B6" i="16"/>
  <c r="B7" i="16"/>
  <c r="O30" i="16"/>
  <c r="R48" i="16"/>
  <c r="Q28" i="16"/>
  <c r="E36" i="16"/>
  <c r="O22" i="16"/>
  <c r="D91" i="16"/>
  <c r="D46" i="16"/>
  <c r="C101" i="16"/>
  <c r="G5" i="16"/>
  <c r="C78" i="16"/>
  <c r="D112" i="16"/>
  <c r="F146" i="13" s="1"/>
  <c r="G146" i="13" s="1"/>
  <c r="B91" i="16" l="1"/>
  <c r="F91" i="16" s="1"/>
  <c r="F143" i="13"/>
  <c r="H36" i="16"/>
  <c r="C15" i="24"/>
  <c r="F129" i="13"/>
  <c r="G129" i="13" s="1"/>
  <c r="L129" i="25"/>
  <c r="B11" i="16"/>
  <c r="B12" i="16" s="1"/>
  <c r="E30" i="20"/>
  <c r="C103" i="16"/>
  <c r="E103" i="16" s="1"/>
  <c r="B33" i="20"/>
  <c r="B34" i="20" s="1"/>
  <c r="D32" i="20"/>
  <c r="J14" i="17"/>
  <c r="J19" i="17" s="1"/>
  <c r="L10" i="17"/>
  <c r="L14" i="17" s="1"/>
  <c r="L19" i="17" s="1"/>
  <c r="K10" i="17"/>
  <c r="K14" i="17" s="1"/>
  <c r="K19" i="17" s="1"/>
  <c r="B41" i="17" s="1"/>
  <c r="B44" i="17" s="1"/>
  <c r="B26" i="17"/>
  <c r="E8" i="16"/>
  <c r="D54" i="16" s="1"/>
  <c r="D9" i="16"/>
  <c r="E9" i="16" s="1"/>
  <c r="I15" i="16" s="1"/>
  <c r="D110" i="16" s="1"/>
  <c r="K7" i="16"/>
  <c r="L7" i="16" s="1"/>
  <c r="O29" i="16"/>
  <c r="O34" i="16" s="1"/>
  <c r="C80" i="16"/>
  <c r="D47" i="16"/>
  <c r="O23" i="16"/>
  <c r="C37" i="16"/>
  <c r="I37" i="16" s="1"/>
  <c r="J36" i="16"/>
  <c r="H23" i="16" s="1"/>
  <c r="I23" i="16" s="1"/>
  <c r="E37" i="16"/>
  <c r="R28" i="16"/>
  <c r="E10" i="16"/>
  <c r="B24" i="16"/>
  <c r="F134" i="13" s="1"/>
  <c r="D101" i="16"/>
  <c r="E91" i="16"/>
  <c r="O33" i="16"/>
  <c r="E118" i="16"/>
  <c r="E131" i="16" s="1"/>
  <c r="G91" i="16" l="1"/>
  <c r="H91" i="16" s="1"/>
  <c r="J79" i="16"/>
  <c r="B49" i="17"/>
  <c r="C107" i="13" s="1"/>
  <c r="B13" i="16"/>
  <c r="C111" i="16"/>
  <c r="E32" i="20"/>
  <c r="B35" i="20"/>
  <c r="B36" i="20" s="1"/>
  <c r="D34" i="20"/>
  <c r="B27" i="17"/>
  <c r="B28" i="17" s="1"/>
  <c r="D26" i="17"/>
  <c r="D27" i="17"/>
  <c r="B46" i="17"/>
  <c r="D109" i="16"/>
  <c r="D114" i="16" s="1"/>
  <c r="D55" i="16"/>
  <c r="Q55" i="16" s="1"/>
  <c r="E92" i="16"/>
  <c r="J91" i="16"/>
  <c r="H79" i="16" s="1"/>
  <c r="I79" i="16" s="1"/>
  <c r="K23" i="16"/>
  <c r="D37" i="16" s="1"/>
  <c r="B27" i="16"/>
  <c r="B26" i="16"/>
  <c r="D24" i="16" s="1"/>
  <c r="B37" i="16"/>
  <c r="C47" i="16"/>
  <c r="D59" i="16"/>
  <c r="Q59" i="16" s="1"/>
  <c r="Q54" i="16"/>
  <c r="J37" i="16"/>
  <c r="C38" i="16"/>
  <c r="I38" i="16" s="1"/>
  <c r="O35" i="16"/>
  <c r="O37" i="16"/>
  <c r="O38" i="16" s="1"/>
  <c r="O39" i="16" s="1"/>
  <c r="O40" i="16" s="1"/>
  <c r="E14" i="16"/>
  <c r="D111" i="16"/>
  <c r="C92" i="16"/>
  <c r="I92" i="16" s="1"/>
  <c r="D102" i="16"/>
  <c r="S28" i="16"/>
  <c r="P29" i="16"/>
  <c r="Q29" i="16" s="1"/>
  <c r="R29" i="16" s="1"/>
  <c r="S29" i="16" s="1"/>
  <c r="Q47" i="16"/>
  <c r="B14" i="16" l="1"/>
  <c r="F130" i="13"/>
  <c r="G130" i="13" s="1"/>
  <c r="C122" i="13"/>
  <c r="C50" i="13"/>
  <c r="E111" i="16"/>
  <c r="F9" i="20"/>
  <c r="F10" i="20" s="1"/>
  <c r="B37" i="20"/>
  <c r="D36" i="20"/>
  <c r="E34" i="20"/>
  <c r="D28" i="17"/>
  <c r="B29" i="17"/>
  <c r="B30" i="17" s="1"/>
  <c r="E26" i="17"/>
  <c r="B50" i="17"/>
  <c r="B55" i="17"/>
  <c r="K79" i="16"/>
  <c r="D92" i="16" s="1"/>
  <c r="P32" i="16"/>
  <c r="O41" i="16"/>
  <c r="P30" i="16" s="1"/>
  <c r="J92" i="16"/>
  <c r="C93" i="16"/>
  <c r="I93" i="16" s="1"/>
  <c r="C55" i="16"/>
  <c r="E47" i="16"/>
  <c r="C49" i="16"/>
  <c r="D49" i="16"/>
  <c r="E80" i="16" s="1"/>
  <c r="J24" i="16"/>
  <c r="F37" i="16"/>
  <c r="K27" i="16"/>
  <c r="D23" i="16"/>
  <c r="D22" i="16"/>
  <c r="G37" i="16"/>
  <c r="F47" i="16" l="1"/>
  <c r="C59" i="16"/>
  <c r="C58" i="16"/>
  <c r="F20" i="20"/>
  <c r="B53" i="20"/>
  <c r="F11" i="20"/>
  <c r="F15" i="20" s="1"/>
  <c r="F19" i="20"/>
  <c r="D53" i="20"/>
  <c r="E36" i="20"/>
  <c r="E28" i="17"/>
  <c r="B31" i="17"/>
  <c r="B32" i="17" s="1"/>
  <c r="D30" i="17"/>
  <c r="B29" i="16"/>
  <c r="B80" i="16"/>
  <c r="F144" i="13" s="1"/>
  <c r="E55" i="16"/>
  <c r="C57" i="16"/>
  <c r="E57" i="16" s="1"/>
  <c r="J60" i="16" s="1"/>
  <c r="K60" i="16" s="1"/>
  <c r="F46" i="16"/>
  <c r="F48" i="16"/>
  <c r="D26" i="16"/>
  <c r="P33" i="16"/>
  <c r="P34" i="16"/>
  <c r="H24" i="16"/>
  <c r="I24" i="16" s="1"/>
  <c r="H37" i="16"/>
  <c r="J59" i="16" l="1"/>
  <c r="K59" i="16" s="1"/>
  <c r="F12" i="20"/>
  <c r="B63" i="20" s="1"/>
  <c r="I46" i="13" s="1"/>
  <c r="F16" i="20"/>
  <c r="D52" i="20"/>
  <c r="E30" i="17"/>
  <c r="B33" i="17"/>
  <c r="B34" i="17" s="1"/>
  <c r="D32" i="17"/>
  <c r="K24" i="16"/>
  <c r="B38" i="16" s="1"/>
  <c r="F49" i="16"/>
  <c r="P35" i="16"/>
  <c r="P37" i="16"/>
  <c r="P38" i="16" s="1"/>
  <c r="P39" i="16" s="1"/>
  <c r="P40" i="16" s="1"/>
  <c r="Q32" i="16" s="1"/>
  <c r="C102" i="16"/>
  <c r="B92" i="16"/>
  <c r="B83" i="16"/>
  <c r="B82" i="16"/>
  <c r="C83" i="16" l="1"/>
  <c r="F142" i="13"/>
  <c r="B52" i="20"/>
  <c r="B54" i="20" s="1"/>
  <c r="B57" i="20" s="1"/>
  <c r="B58" i="20" s="1"/>
  <c r="F21" i="20"/>
  <c r="F17" i="20"/>
  <c r="F18" i="20"/>
  <c r="E32" i="17"/>
  <c r="D34" i="17"/>
  <c r="B35" i="17"/>
  <c r="B36" i="17" s="1"/>
  <c r="P41" i="16"/>
  <c r="Q30" i="16" s="1"/>
  <c r="Q34" i="16" s="1"/>
  <c r="D78" i="16"/>
  <c r="K83" i="16"/>
  <c r="D79" i="16"/>
  <c r="D80" i="16"/>
  <c r="J80" i="16"/>
  <c r="F92" i="16"/>
  <c r="G92" i="16"/>
  <c r="C110" i="16"/>
  <c r="E102" i="16"/>
  <c r="C104" i="16"/>
  <c r="D104" i="16"/>
  <c r="B84" i="16" s="1"/>
  <c r="F38" i="16"/>
  <c r="J25" i="16"/>
  <c r="G38" i="16"/>
  <c r="C114" i="16" l="1"/>
  <c r="C113" i="16"/>
  <c r="B59" i="20"/>
  <c r="B61" i="20"/>
  <c r="B62" i="20" s="1"/>
  <c r="F9" i="17"/>
  <c r="F10" i="17" s="1"/>
  <c r="B37" i="17"/>
  <c r="D36" i="17"/>
  <c r="E34" i="17"/>
  <c r="Q37" i="16"/>
  <c r="Q38" i="16" s="1"/>
  <c r="Q39" i="16" s="1"/>
  <c r="Q40" i="16" s="1"/>
  <c r="R32" i="16" s="1"/>
  <c r="Q35" i="16"/>
  <c r="H80" i="16"/>
  <c r="I80" i="16" s="1"/>
  <c r="H92" i="16"/>
  <c r="D82" i="16"/>
  <c r="H38" i="16"/>
  <c r="H25" i="16"/>
  <c r="I25" i="16" s="1"/>
  <c r="F101" i="16"/>
  <c r="F103" i="16"/>
  <c r="Q33" i="16"/>
  <c r="F102" i="16"/>
  <c r="C112" i="16"/>
  <c r="E112" i="16" s="1"/>
  <c r="J115" i="16" s="1"/>
  <c r="E110" i="16"/>
  <c r="J114" i="16" l="1"/>
  <c r="I131" i="16" s="1"/>
  <c r="K131" i="16" s="1"/>
  <c r="L131" i="16" s="1"/>
  <c r="E36" i="17"/>
  <c r="F20" i="17"/>
  <c r="B53" i="17"/>
  <c r="F11" i="17"/>
  <c r="F15" i="17" s="1"/>
  <c r="F19" i="17"/>
  <c r="D53" i="17"/>
  <c r="I26" i="16"/>
  <c r="K25" i="16"/>
  <c r="K26" i="16" s="1"/>
  <c r="K80" i="16"/>
  <c r="B93" i="16" s="1"/>
  <c r="F104" i="16"/>
  <c r="K115" i="16"/>
  <c r="I132" i="16"/>
  <c r="K132" i="16" s="1"/>
  <c r="L132" i="16" s="1"/>
  <c r="Q41" i="16"/>
  <c r="R30" i="16" s="1"/>
  <c r="R33" i="16" s="1"/>
  <c r="K114" i="16" l="1"/>
  <c r="F16" i="17"/>
  <c r="D52" i="17"/>
  <c r="F12" i="17"/>
  <c r="B63" i="17" s="1"/>
  <c r="C46" i="13" s="1"/>
  <c r="F93" i="16"/>
  <c r="J81" i="16"/>
  <c r="G93" i="16"/>
  <c r="C50" i="16"/>
  <c r="H26" i="16"/>
  <c r="K28" i="16"/>
  <c r="K29" i="16" s="1"/>
  <c r="K30" i="16"/>
  <c r="R34" i="16"/>
  <c r="F17" i="17" l="1"/>
  <c r="C51" i="16"/>
  <c r="E71" i="16" s="1"/>
  <c r="F139" i="13" s="1"/>
  <c r="G139" i="13" s="1"/>
  <c r="F18" i="17"/>
  <c r="B52" i="17"/>
  <c r="B54" i="17" s="1"/>
  <c r="B57" i="17" s="1"/>
  <c r="B61" i="17" s="1"/>
  <c r="F21" i="17"/>
  <c r="R37" i="16"/>
  <c r="R38" i="16" s="1"/>
  <c r="R39" i="16" s="1"/>
  <c r="R40" i="16" s="1"/>
  <c r="S32" i="16" s="1"/>
  <c r="R35" i="16"/>
  <c r="H93" i="16"/>
  <c r="H81" i="16"/>
  <c r="I81" i="16" s="1"/>
  <c r="E70" i="16" l="1"/>
  <c r="F135" i="13"/>
  <c r="E59" i="16"/>
  <c r="C54" i="16"/>
  <c r="E54" i="16" s="1"/>
  <c r="J58" i="16" s="1"/>
  <c r="B58" i="17"/>
  <c r="B59" i="17" s="1"/>
  <c r="B62" i="17"/>
  <c r="I82" i="16"/>
  <c r="K81" i="16"/>
  <c r="K82" i="16" s="1"/>
  <c r="R41" i="16"/>
  <c r="S30" i="16" s="1"/>
  <c r="S33" i="16" s="1"/>
  <c r="C105" i="16" l="1"/>
  <c r="H82" i="16"/>
  <c r="K86" i="16"/>
  <c r="K84" i="16"/>
  <c r="K85" i="16" s="1"/>
  <c r="K58" i="16"/>
  <c r="S34" i="16"/>
  <c r="C106" i="16" l="1"/>
  <c r="S35" i="16"/>
  <c r="S37" i="16"/>
  <c r="S38" i="16" s="1"/>
  <c r="S39" i="16" s="1"/>
  <c r="S40" i="16" s="1"/>
  <c r="R23" i="16" s="1"/>
  <c r="R22" i="16"/>
  <c r="P47" i="16" s="1"/>
  <c r="E126" i="16" l="1"/>
  <c r="F145" i="13"/>
  <c r="E135" i="16"/>
  <c r="C109" i="16"/>
  <c r="E109" i="16" s="1"/>
  <c r="J113" i="16" s="1"/>
  <c r="E114" i="16"/>
  <c r="F114" i="16" s="1"/>
  <c r="D119" i="13" s="1"/>
  <c r="E119" i="13" s="1"/>
  <c r="R24" i="16"/>
  <c r="P50" i="16" s="1"/>
  <c r="S41" i="16"/>
  <c r="P55" i="16"/>
  <c r="R47" i="16"/>
  <c r="Q49" i="16"/>
  <c r="P49" i="16"/>
  <c r="D46" i="13" l="1"/>
  <c r="F149" i="13"/>
  <c r="G149" i="13" s="1"/>
  <c r="F46" i="13"/>
  <c r="E53" i="13"/>
  <c r="F119" i="13"/>
  <c r="G119" i="13"/>
  <c r="G122" i="13" s="1"/>
  <c r="E125" i="16"/>
  <c r="P57" i="16"/>
  <c r="R57" i="16" s="1"/>
  <c r="R55" i="16"/>
  <c r="I130" i="16"/>
  <c r="K113" i="16"/>
  <c r="S48" i="16"/>
  <c r="S46" i="16"/>
  <c r="P51" i="16"/>
  <c r="S47" i="16"/>
  <c r="S49" i="16" l="1"/>
  <c r="P58" i="16"/>
  <c r="P54" i="16"/>
  <c r="R54" i="16" s="1"/>
  <c r="P59" i="16"/>
  <c r="R59" i="16" s="1"/>
  <c r="K130" i="16"/>
  <c r="L130" i="16" l="1"/>
  <c r="E116" i="13" l="1"/>
  <c r="F116" i="13" s="1"/>
  <c r="E115" i="13"/>
  <c r="F115" i="13" s="1"/>
  <c r="D49" i="13"/>
  <c r="AJ183" i="14"/>
  <c r="AJ182" i="14"/>
  <c r="AJ181" i="14"/>
  <c r="AJ180" i="14"/>
  <c r="AJ179" i="14"/>
  <c r="C42" i="13"/>
  <c r="E42" i="13" s="1"/>
  <c r="C38" i="13"/>
  <c r="E38" i="13" s="1"/>
  <c r="AQ183" i="14"/>
  <c r="AG183" i="14"/>
  <c r="AC183" i="14"/>
  <c r="L183" i="14"/>
  <c r="K183" i="14"/>
  <c r="E183" i="14"/>
  <c r="BM183" i="14" s="1"/>
  <c r="AQ182" i="14"/>
  <c r="AG182" i="14"/>
  <c r="AC182" i="14"/>
  <c r="L182" i="14"/>
  <c r="K182" i="14"/>
  <c r="E182" i="14"/>
  <c r="AB182" i="14" s="1"/>
  <c r="AQ181" i="14"/>
  <c r="AG181" i="14"/>
  <c r="AC181" i="14"/>
  <c r="L181" i="14"/>
  <c r="K181" i="14"/>
  <c r="E181" i="14"/>
  <c r="I181" i="14" s="1"/>
  <c r="AQ180" i="14"/>
  <c r="AG180" i="14"/>
  <c r="AC180" i="14"/>
  <c r="T180" i="14"/>
  <c r="U180" i="14" s="1"/>
  <c r="L180" i="14"/>
  <c r="K180" i="14"/>
  <c r="E180" i="14"/>
  <c r="AU180" i="14" s="1"/>
  <c r="AQ179" i="14"/>
  <c r="AG179" i="14"/>
  <c r="AC179" i="14"/>
  <c r="L179" i="14"/>
  <c r="K179" i="14"/>
  <c r="E179" i="14"/>
  <c r="BG179" i="14" s="1"/>
  <c r="BP159" i="14"/>
  <c r="BM159" i="14"/>
  <c r="BN159" i="14" s="1"/>
  <c r="BG159" i="14"/>
  <c r="BH159" i="14" s="1"/>
  <c r="BA159" i="14"/>
  <c r="AU159" i="14"/>
  <c r="AV159" i="14" s="1"/>
  <c r="AQ159" i="14"/>
  <c r="AL159" i="14"/>
  <c r="AJ159" i="14"/>
  <c r="AG159" i="14"/>
  <c r="AC159" i="14"/>
  <c r="AB159" i="14"/>
  <c r="T159" i="14"/>
  <c r="U159" i="14" s="1"/>
  <c r="O159" i="14"/>
  <c r="P159" i="14" s="1"/>
  <c r="L159" i="14"/>
  <c r="K159" i="14"/>
  <c r="I159" i="14"/>
  <c r="J159" i="14" s="1"/>
  <c r="BP158" i="14"/>
  <c r="BM158" i="14"/>
  <c r="BN158" i="14" s="1"/>
  <c r="BG158" i="14"/>
  <c r="BH158" i="14" s="1"/>
  <c r="BA158" i="14"/>
  <c r="BB158" i="14" s="1"/>
  <c r="AU158" i="14"/>
  <c r="AV158" i="14" s="1"/>
  <c r="AQ158" i="14"/>
  <c r="AJ158" i="14"/>
  <c r="AL158" i="14" s="1"/>
  <c r="AG158" i="14"/>
  <c r="AC158" i="14"/>
  <c r="AB158" i="14"/>
  <c r="T158" i="14"/>
  <c r="U158" i="14" s="1"/>
  <c r="O158" i="14"/>
  <c r="L158" i="14"/>
  <c r="K158" i="14"/>
  <c r="I158" i="14"/>
  <c r="J158" i="14" s="1"/>
  <c r="BP157" i="14"/>
  <c r="BM157" i="14"/>
  <c r="BN157" i="14" s="1"/>
  <c r="BG157" i="14"/>
  <c r="BH157" i="14" s="1"/>
  <c r="BA157" i="14"/>
  <c r="BB157" i="14" s="1"/>
  <c r="AU157" i="14"/>
  <c r="AV157" i="14" s="1"/>
  <c r="AQ157" i="14"/>
  <c r="AJ157" i="14"/>
  <c r="AL157" i="14" s="1"/>
  <c r="AG157" i="14"/>
  <c r="AC157" i="14"/>
  <c r="AB157" i="14"/>
  <c r="T157" i="14"/>
  <c r="U157" i="14" s="1"/>
  <c r="O157" i="14"/>
  <c r="P157" i="14" s="1"/>
  <c r="N157" i="14"/>
  <c r="L157" i="14"/>
  <c r="K157" i="14"/>
  <c r="I157" i="14"/>
  <c r="J157" i="14" s="1"/>
  <c r="BP156" i="14"/>
  <c r="BM156" i="14"/>
  <c r="BN156" i="14" s="1"/>
  <c r="BL156" i="14"/>
  <c r="BG156" i="14"/>
  <c r="BH156" i="14" s="1"/>
  <c r="BA156" i="14"/>
  <c r="AU156" i="14"/>
  <c r="AV156" i="14" s="1"/>
  <c r="AT156" i="14"/>
  <c r="AQ156" i="14"/>
  <c r="AJ156" i="14"/>
  <c r="AL156" i="14" s="1"/>
  <c r="AG156" i="14"/>
  <c r="AC156" i="14"/>
  <c r="AB156" i="14"/>
  <c r="T156" i="14"/>
  <c r="U156" i="14" s="1"/>
  <c r="O156" i="14"/>
  <c r="L156" i="14"/>
  <c r="K156" i="14"/>
  <c r="I156" i="14"/>
  <c r="J156" i="14" s="1"/>
  <c r="BP155" i="14"/>
  <c r="BM155" i="14"/>
  <c r="BG155" i="14"/>
  <c r="BH155" i="14" s="1"/>
  <c r="BF155" i="14"/>
  <c r="BA155" i="14"/>
  <c r="BB155" i="14" s="1"/>
  <c r="AU155" i="14"/>
  <c r="AV155" i="14" s="1"/>
  <c r="AQ155" i="14"/>
  <c r="AJ155" i="14"/>
  <c r="AL155" i="14" s="1"/>
  <c r="AG155" i="14"/>
  <c r="AC155" i="14"/>
  <c r="AB155" i="14"/>
  <c r="T155" i="14"/>
  <c r="U155" i="14" s="1"/>
  <c r="O155" i="14"/>
  <c r="P155" i="14" s="1"/>
  <c r="L155" i="14"/>
  <c r="K155" i="14"/>
  <c r="I155" i="14"/>
  <c r="J155" i="14" s="1"/>
  <c r="BP154" i="14"/>
  <c r="BM154" i="14"/>
  <c r="BN154" i="14" s="1"/>
  <c r="BG154" i="14"/>
  <c r="BH154" i="14" s="1"/>
  <c r="BA154" i="14"/>
  <c r="BB154" i="14" s="1"/>
  <c r="AU154" i="14"/>
  <c r="AV154" i="14" s="1"/>
  <c r="AT154" i="14"/>
  <c r="AQ154" i="14"/>
  <c r="AJ154" i="14"/>
  <c r="AL154" i="14" s="1"/>
  <c r="AG154" i="14"/>
  <c r="AC154" i="14"/>
  <c r="AB154" i="14"/>
  <c r="T154" i="14"/>
  <c r="U154" i="14" s="1"/>
  <c r="O154" i="14"/>
  <c r="N154" i="14" s="1"/>
  <c r="L154" i="14"/>
  <c r="K154" i="14"/>
  <c r="I154" i="14"/>
  <c r="J154" i="14" s="1"/>
  <c r="BP153" i="14"/>
  <c r="BM153" i="14"/>
  <c r="BN153" i="14" s="1"/>
  <c r="BG153" i="14"/>
  <c r="BH153" i="14" s="1"/>
  <c r="BF153" i="14"/>
  <c r="BA153" i="14"/>
  <c r="AU153" i="14"/>
  <c r="AV153" i="14" s="1"/>
  <c r="AQ153" i="14"/>
  <c r="AJ153" i="14"/>
  <c r="AL153" i="14" s="1"/>
  <c r="AG153" i="14"/>
  <c r="AC153" i="14"/>
  <c r="AB153" i="14"/>
  <c r="T153" i="14"/>
  <c r="U153" i="14" s="1"/>
  <c r="O153" i="14"/>
  <c r="P153" i="14" s="1"/>
  <c r="N153" i="14"/>
  <c r="L153" i="14"/>
  <c r="K153" i="14"/>
  <c r="I153" i="14"/>
  <c r="J153" i="14" s="1"/>
  <c r="BP152" i="14"/>
  <c r="BM152" i="14"/>
  <c r="BN152" i="14" s="1"/>
  <c r="BG152" i="14"/>
  <c r="BH152" i="14" s="1"/>
  <c r="BA152" i="14"/>
  <c r="AU152" i="14"/>
  <c r="AV152" i="14" s="1"/>
  <c r="AQ152" i="14"/>
  <c r="AJ152" i="14"/>
  <c r="AL152" i="14" s="1"/>
  <c r="AG152" i="14"/>
  <c r="AC152" i="14"/>
  <c r="AB152" i="14"/>
  <c r="T152" i="14"/>
  <c r="U152" i="14" s="1"/>
  <c r="O152" i="14"/>
  <c r="L152" i="14"/>
  <c r="K152" i="14"/>
  <c r="I152" i="14"/>
  <c r="J152" i="14" s="1"/>
  <c r="BP151" i="14"/>
  <c r="BM151" i="14"/>
  <c r="BN151" i="14" s="1"/>
  <c r="BG151" i="14"/>
  <c r="BH151" i="14" s="1"/>
  <c r="BA151" i="14"/>
  <c r="BB151" i="14" s="1"/>
  <c r="AU151" i="14"/>
  <c r="AV151" i="14" s="1"/>
  <c r="AQ151" i="14"/>
  <c r="AJ151" i="14"/>
  <c r="AL151" i="14" s="1"/>
  <c r="AG151" i="14"/>
  <c r="AC151" i="14"/>
  <c r="AB151" i="14"/>
  <c r="T151" i="14"/>
  <c r="U151" i="14" s="1"/>
  <c r="O151" i="14"/>
  <c r="P151" i="14" s="1"/>
  <c r="L151" i="14"/>
  <c r="K151" i="14"/>
  <c r="I151" i="14"/>
  <c r="J151" i="14" s="1"/>
  <c r="BP150" i="14"/>
  <c r="BM150" i="14"/>
  <c r="BN150" i="14" s="1"/>
  <c r="BG150" i="14"/>
  <c r="BH150" i="14" s="1"/>
  <c r="BA150" i="14"/>
  <c r="AU150" i="14"/>
  <c r="AV150" i="14" s="1"/>
  <c r="AT150" i="14"/>
  <c r="AQ150" i="14"/>
  <c r="AJ150" i="14"/>
  <c r="AL150" i="14" s="1"/>
  <c r="AG150" i="14"/>
  <c r="AC150" i="14"/>
  <c r="AB150" i="14"/>
  <c r="T150" i="14"/>
  <c r="U150" i="14" s="1"/>
  <c r="O150" i="14"/>
  <c r="L150" i="14"/>
  <c r="K150" i="14"/>
  <c r="I150" i="14"/>
  <c r="J150" i="14" s="1"/>
  <c r="BP149" i="14"/>
  <c r="BM149" i="14"/>
  <c r="BH149" i="14"/>
  <c r="BG149" i="14"/>
  <c r="BF149" i="14" s="1"/>
  <c r="BA149" i="14"/>
  <c r="BB149" i="14" s="1"/>
  <c r="AU149" i="14"/>
  <c r="AV149" i="14" s="1"/>
  <c r="AQ149" i="14"/>
  <c r="AL149" i="14"/>
  <c r="AJ149" i="14"/>
  <c r="AG149" i="14"/>
  <c r="AC149" i="14"/>
  <c r="AB149" i="14"/>
  <c r="T149" i="14"/>
  <c r="U149" i="14" s="1"/>
  <c r="O149" i="14"/>
  <c r="P149" i="14" s="1"/>
  <c r="L149" i="14"/>
  <c r="K149" i="14"/>
  <c r="I149" i="14"/>
  <c r="J149" i="14" s="1"/>
  <c r="BP148" i="14"/>
  <c r="BM148" i="14"/>
  <c r="BN148" i="14" s="1"/>
  <c r="BG148" i="14"/>
  <c r="BH148" i="14" s="1"/>
  <c r="BA148" i="14"/>
  <c r="BB148" i="14" s="1"/>
  <c r="AV148" i="14"/>
  <c r="AU148" i="14"/>
  <c r="AT148" i="14" s="1"/>
  <c r="AQ148" i="14"/>
  <c r="AL148" i="14"/>
  <c r="AG148" i="14"/>
  <c r="AC148" i="14"/>
  <c r="AB148" i="14"/>
  <c r="T148" i="14"/>
  <c r="U148" i="14" s="1"/>
  <c r="O148" i="14"/>
  <c r="P148" i="14" s="1"/>
  <c r="L148" i="14"/>
  <c r="K148" i="14"/>
  <c r="I148" i="14"/>
  <c r="J148" i="14" s="1"/>
  <c r="BP147" i="14"/>
  <c r="BM147" i="14"/>
  <c r="BN147" i="14" s="1"/>
  <c r="BG147" i="14"/>
  <c r="BA147" i="14"/>
  <c r="BB147" i="14" s="1"/>
  <c r="AU147" i="14"/>
  <c r="AV147" i="14" s="1"/>
  <c r="AQ147" i="14"/>
  <c r="AJ147" i="14"/>
  <c r="AL147" i="14" s="1"/>
  <c r="AG147" i="14"/>
  <c r="AC147" i="14"/>
  <c r="AB147" i="14"/>
  <c r="T147" i="14"/>
  <c r="U147" i="14" s="1"/>
  <c r="O147" i="14"/>
  <c r="P147" i="14" s="1"/>
  <c r="L147" i="14"/>
  <c r="K147" i="14"/>
  <c r="I147" i="14"/>
  <c r="J147" i="14" s="1"/>
  <c r="BP146" i="14"/>
  <c r="BN146" i="14"/>
  <c r="BM146" i="14"/>
  <c r="BL146" i="14" s="1"/>
  <c r="BG146" i="14"/>
  <c r="BH146" i="14" s="1"/>
  <c r="BA146" i="14"/>
  <c r="BB146" i="14" s="1"/>
  <c r="AU146" i="14"/>
  <c r="AQ146" i="14"/>
  <c r="AJ146" i="14"/>
  <c r="AL146" i="14" s="1"/>
  <c r="AG146" i="14"/>
  <c r="AC146" i="14"/>
  <c r="AB146" i="14"/>
  <c r="T146" i="14"/>
  <c r="U146" i="14" s="1"/>
  <c r="O146" i="14"/>
  <c r="P146" i="14" s="1"/>
  <c r="L146" i="14"/>
  <c r="K146" i="14"/>
  <c r="I146" i="14"/>
  <c r="J146" i="14" s="1"/>
  <c r="BP145" i="14"/>
  <c r="BM145" i="14"/>
  <c r="BN145" i="14" s="1"/>
  <c r="BG145" i="14"/>
  <c r="BF145" i="14" s="1"/>
  <c r="BA145" i="14"/>
  <c r="AZ145" i="14" s="1"/>
  <c r="AU145" i="14"/>
  <c r="AT145" i="14" s="1"/>
  <c r="AQ145" i="14"/>
  <c r="AJ145" i="14"/>
  <c r="AL145" i="14" s="1"/>
  <c r="AG145" i="14"/>
  <c r="AC145" i="14"/>
  <c r="AB145" i="14"/>
  <c r="T145" i="14"/>
  <c r="U145" i="14" s="1"/>
  <c r="O145" i="14"/>
  <c r="P145" i="14" s="1"/>
  <c r="L145" i="14"/>
  <c r="K145" i="14"/>
  <c r="I145" i="14"/>
  <c r="BP144" i="14"/>
  <c r="BM144" i="14"/>
  <c r="BN144" i="14" s="1"/>
  <c r="BG144" i="14"/>
  <c r="BH144" i="14" s="1"/>
  <c r="BA144" i="14"/>
  <c r="BB144" i="14" s="1"/>
  <c r="AU144" i="14"/>
  <c r="AQ144" i="14"/>
  <c r="AJ144" i="14"/>
  <c r="AL144" i="14" s="1"/>
  <c r="AG144" i="14"/>
  <c r="AC144" i="14"/>
  <c r="AB144" i="14"/>
  <c r="T144" i="14"/>
  <c r="U144" i="14" s="1"/>
  <c r="O144" i="14"/>
  <c r="P144" i="14" s="1"/>
  <c r="L144" i="14"/>
  <c r="K144" i="14"/>
  <c r="I144" i="14"/>
  <c r="J144" i="14" s="1"/>
  <c r="BP143" i="14"/>
  <c r="BM143" i="14"/>
  <c r="BG143" i="14"/>
  <c r="BF143" i="14" s="1"/>
  <c r="BA143" i="14"/>
  <c r="AZ143" i="14" s="1"/>
  <c r="AU143" i="14"/>
  <c r="AT143" i="14" s="1"/>
  <c r="AQ143" i="14"/>
  <c r="AJ143" i="14"/>
  <c r="AL143" i="14" s="1"/>
  <c r="AG143" i="14"/>
  <c r="AC143" i="14"/>
  <c r="AB143" i="14"/>
  <c r="T143" i="14"/>
  <c r="U143" i="14" s="1"/>
  <c r="O143" i="14"/>
  <c r="P143" i="14" s="1"/>
  <c r="L143" i="14"/>
  <c r="K143" i="14"/>
  <c r="I143" i="14"/>
  <c r="J143" i="14" s="1"/>
  <c r="BP142" i="14"/>
  <c r="BM142" i="14"/>
  <c r="BL142" i="14" s="1"/>
  <c r="BG142" i="14"/>
  <c r="BH142" i="14" s="1"/>
  <c r="BF142" i="14"/>
  <c r="BA142" i="14"/>
  <c r="BB142" i="14" s="1"/>
  <c r="AU142" i="14"/>
  <c r="AQ142" i="14"/>
  <c r="AJ142" i="14"/>
  <c r="AL142" i="14" s="1"/>
  <c r="AG142" i="14"/>
  <c r="AC142" i="14"/>
  <c r="AB142" i="14"/>
  <c r="T142" i="14"/>
  <c r="U142" i="14" s="1"/>
  <c r="O142" i="14"/>
  <c r="P142" i="14" s="1"/>
  <c r="L142" i="14"/>
  <c r="K142" i="14"/>
  <c r="I142" i="14"/>
  <c r="J142" i="14" s="1"/>
  <c r="BP141" i="14"/>
  <c r="BM141" i="14"/>
  <c r="BN141" i="14" s="1"/>
  <c r="BG141" i="14"/>
  <c r="BA141" i="14"/>
  <c r="BB141" i="14" s="1"/>
  <c r="AZ141" i="14"/>
  <c r="AU141" i="14"/>
  <c r="AV141" i="14" s="1"/>
  <c r="AQ141" i="14"/>
  <c r="AJ141" i="14"/>
  <c r="AL141" i="14" s="1"/>
  <c r="AG141" i="14"/>
  <c r="AC141" i="14"/>
  <c r="AB141" i="14"/>
  <c r="T141" i="14"/>
  <c r="U141" i="14" s="1"/>
  <c r="O141" i="14"/>
  <c r="P141" i="14" s="1"/>
  <c r="L141" i="14"/>
  <c r="K141" i="14"/>
  <c r="I141" i="14"/>
  <c r="J141" i="14" s="1"/>
  <c r="BP140" i="14"/>
  <c r="BM140" i="14"/>
  <c r="BL140" i="14" s="1"/>
  <c r="BG140" i="14"/>
  <c r="BH140" i="14" s="1"/>
  <c r="BA140" i="14"/>
  <c r="BB140" i="14" s="1"/>
  <c r="AU140" i="14"/>
  <c r="AQ140" i="14"/>
  <c r="AJ140" i="14"/>
  <c r="AL140" i="14" s="1"/>
  <c r="AG140" i="14"/>
  <c r="AC140" i="14"/>
  <c r="AB140" i="14"/>
  <c r="T140" i="14"/>
  <c r="U140" i="14" s="1"/>
  <c r="O140" i="14"/>
  <c r="P140" i="14" s="1"/>
  <c r="L140" i="14"/>
  <c r="K140" i="14"/>
  <c r="I140" i="14"/>
  <c r="J140" i="14" s="1"/>
  <c r="BP139" i="14"/>
  <c r="BM139" i="14"/>
  <c r="BN139" i="14" s="1"/>
  <c r="BG139" i="14"/>
  <c r="BF139" i="14" s="1"/>
  <c r="BA139" i="14"/>
  <c r="AZ139" i="14" s="1"/>
  <c r="AU139" i="14"/>
  <c r="AT139" i="14" s="1"/>
  <c r="AQ139" i="14"/>
  <c r="AJ139" i="14"/>
  <c r="AL139" i="14" s="1"/>
  <c r="AG139" i="14"/>
  <c r="AC139" i="14"/>
  <c r="AB139" i="14"/>
  <c r="T139" i="14"/>
  <c r="U139" i="14" s="1"/>
  <c r="O139" i="14"/>
  <c r="P139" i="14" s="1"/>
  <c r="L139" i="14"/>
  <c r="K139" i="14"/>
  <c r="I139" i="14"/>
  <c r="J139" i="14" s="1"/>
  <c r="BP138" i="14"/>
  <c r="BM138" i="14"/>
  <c r="BN138" i="14" s="1"/>
  <c r="BG138" i="14"/>
  <c r="BF138" i="14" s="1"/>
  <c r="BA138" i="14"/>
  <c r="BB138" i="14" s="1"/>
  <c r="AZ138" i="14"/>
  <c r="AU138" i="14"/>
  <c r="AT138" i="14" s="1"/>
  <c r="AQ138" i="14"/>
  <c r="AJ138" i="14"/>
  <c r="AL138" i="14" s="1"/>
  <c r="AG138" i="14"/>
  <c r="AC138" i="14"/>
  <c r="AB138" i="14"/>
  <c r="T138" i="14"/>
  <c r="U138" i="14" s="1"/>
  <c r="O138" i="14"/>
  <c r="L138" i="14"/>
  <c r="K138" i="14"/>
  <c r="I138" i="14"/>
  <c r="J138" i="14" s="1"/>
  <c r="BP137" i="14"/>
  <c r="BM137" i="14"/>
  <c r="BN137" i="14" s="1"/>
  <c r="BH137" i="14"/>
  <c r="BG137" i="14"/>
  <c r="BF137" i="14" s="1"/>
  <c r="BA137" i="14"/>
  <c r="BB137" i="14" s="1"/>
  <c r="AZ137" i="14"/>
  <c r="AU137" i="14"/>
  <c r="AT137" i="14" s="1"/>
  <c r="AQ137" i="14"/>
  <c r="AJ137" i="14"/>
  <c r="AL137" i="14" s="1"/>
  <c r="AG137" i="14"/>
  <c r="AC137" i="14"/>
  <c r="AB137" i="14"/>
  <c r="T137" i="14"/>
  <c r="U137" i="14" s="1"/>
  <c r="O137" i="14"/>
  <c r="P137" i="14" s="1"/>
  <c r="L137" i="14"/>
  <c r="K137" i="14"/>
  <c r="I137" i="14"/>
  <c r="C137" i="14"/>
  <c r="C149" i="14" s="1"/>
  <c r="BP136" i="14"/>
  <c r="BM136" i="14"/>
  <c r="BN136" i="14" s="1"/>
  <c r="BG136" i="14"/>
  <c r="BF136" i="14" s="1"/>
  <c r="BA136" i="14"/>
  <c r="BB136" i="14" s="1"/>
  <c r="AU136" i="14"/>
  <c r="AQ136" i="14"/>
  <c r="AJ136" i="14"/>
  <c r="AL136" i="14" s="1"/>
  <c r="AG136" i="14"/>
  <c r="AC136" i="14"/>
  <c r="AB136" i="14"/>
  <c r="T136" i="14"/>
  <c r="U136" i="14" s="1"/>
  <c r="O136" i="14"/>
  <c r="L136" i="14"/>
  <c r="K136" i="14"/>
  <c r="I136" i="14"/>
  <c r="J136" i="14" s="1"/>
  <c r="BP135" i="14"/>
  <c r="BM135" i="14"/>
  <c r="BN135" i="14" s="1"/>
  <c r="BL135" i="14"/>
  <c r="BG135" i="14"/>
  <c r="BF135" i="14" s="1"/>
  <c r="BA135" i="14"/>
  <c r="BB135" i="14" s="1"/>
  <c r="AU135" i="14"/>
  <c r="AT135" i="14" s="1"/>
  <c r="AQ135" i="14"/>
  <c r="AJ135" i="14"/>
  <c r="AL135" i="14" s="1"/>
  <c r="AG135" i="14"/>
  <c r="AC135" i="14"/>
  <c r="AB135" i="14"/>
  <c r="T135" i="14"/>
  <c r="U135" i="14" s="1"/>
  <c r="O135" i="14"/>
  <c r="L135" i="14"/>
  <c r="K135" i="14"/>
  <c r="I135" i="14"/>
  <c r="BP134" i="14"/>
  <c r="BM134" i="14"/>
  <c r="BN134" i="14" s="1"/>
  <c r="BG134" i="14"/>
  <c r="BF134" i="14" s="1"/>
  <c r="BA134" i="14"/>
  <c r="BB134" i="14" s="1"/>
  <c r="AU134" i="14"/>
  <c r="AT134" i="14" s="1"/>
  <c r="AQ134" i="14"/>
  <c r="AJ134" i="14"/>
  <c r="AL134" i="14" s="1"/>
  <c r="AG134" i="14"/>
  <c r="AC134" i="14"/>
  <c r="AB134" i="14"/>
  <c r="T134" i="14"/>
  <c r="U134" i="14" s="1"/>
  <c r="O134" i="14"/>
  <c r="N134" i="14" s="1"/>
  <c r="L134" i="14"/>
  <c r="K134" i="14"/>
  <c r="I134" i="14"/>
  <c r="J134" i="14" s="1"/>
  <c r="BP133" i="14"/>
  <c r="BM133" i="14"/>
  <c r="BN133" i="14" s="1"/>
  <c r="BG133" i="14"/>
  <c r="BF133" i="14" s="1"/>
  <c r="BA133" i="14"/>
  <c r="BB133" i="14" s="1"/>
  <c r="AU133" i="14"/>
  <c r="AT133" i="14" s="1"/>
  <c r="AQ133" i="14"/>
  <c r="AJ133" i="14"/>
  <c r="AL133" i="14" s="1"/>
  <c r="AG133" i="14"/>
  <c r="AC133" i="14"/>
  <c r="AB133" i="14"/>
  <c r="T133" i="14"/>
  <c r="U133" i="14" s="1"/>
  <c r="O133" i="14"/>
  <c r="L133" i="14"/>
  <c r="K133" i="14"/>
  <c r="I133" i="14"/>
  <c r="J133" i="14" s="1"/>
  <c r="BP132" i="14"/>
  <c r="BM132" i="14"/>
  <c r="BN132" i="14" s="1"/>
  <c r="BL132" i="14"/>
  <c r="BG132" i="14"/>
  <c r="BF132" i="14" s="1"/>
  <c r="BA132" i="14"/>
  <c r="BB132" i="14" s="1"/>
  <c r="AU132" i="14"/>
  <c r="AT132" i="14" s="1"/>
  <c r="AQ132" i="14"/>
  <c r="AJ132" i="14"/>
  <c r="AL132" i="14" s="1"/>
  <c r="AG132" i="14"/>
  <c r="AC132" i="14"/>
  <c r="AB132" i="14"/>
  <c r="T132" i="14"/>
  <c r="U132" i="14" s="1"/>
  <c r="O132" i="14"/>
  <c r="L132" i="14"/>
  <c r="K132" i="14"/>
  <c r="I132" i="14"/>
  <c r="J132" i="14" s="1"/>
  <c r="BP131" i="14"/>
  <c r="BM131" i="14"/>
  <c r="BN131" i="14" s="1"/>
  <c r="BG131" i="14"/>
  <c r="BA131" i="14"/>
  <c r="BB131" i="14" s="1"/>
  <c r="AU131" i="14"/>
  <c r="AT131" i="14" s="1"/>
  <c r="AQ131" i="14"/>
  <c r="AJ131" i="14"/>
  <c r="AL131" i="14" s="1"/>
  <c r="AG131" i="14"/>
  <c r="AC131" i="14"/>
  <c r="AB131" i="14"/>
  <c r="T131" i="14"/>
  <c r="U131" i="14" s="1"/>
  <c r="O131" i="14"/>
  <c r="L131" i="14"/>
  <c r="K131" i="14"/>
  <c r="I131" i="14"/>
  <c r="BP130" i="14"/>
  <c r="BM130" i="14"/>
  <c r="BN130" i="14" s="1"/>
  <c r="BG130" i="14"/>
  <c r="BF130" i="14" s="1"/>
  <c r="BA130" i="14"/>
  <c r="AU130" i="14"/>
  <c r="AT130" i="14" s="1"/>
  <c r="AQ130" i="14"/>
  <c r="AJ130" i="14"/>
  <c r="AL130" i="14" s="1"/>
  <c r="AG130" i="14"/>
  <c r="AC130" i="14"/>
  <c r="AB130" i="14"/>
  <c r="T130" i="14"/>
  <c r="U130" i="14" s="1"/>
  <c r="O130" i="14"/>
  <c r="P130" i="14" s="1"/>
  <c r="L130" i="14"/>
  <c r="K130" i="14"/>
  <c r="I130" i="14"/>
  <c r="J130" i="14" s="1"/>
  <c r="BP129" i="14"/>
  <c r="BM129" i="14"/>
  <c r="BN129" i="14" s="1"/>
  <c r="BG129" i="14"/>
  <c r="BF129" i="14" s="1"/>
  <c r="BA129" i="14"/>
  <c r="BB129" i="14" s="1"/>
  <c r="AU129" i="14"/>
  <c r="AQ129" i="14"/>
  <c r="AJ129" i="14"/>
  <c r="AL129" i="14" s="1"/>
  <c r="AG129" i="14"/>
  <c r="AC129" i="14"/>
  <c r="AB129" i="14"/>
  <c r="T129" i="14"/>
  <c r="U129" i="14" s="1"/>
  <c r="O129" i="14"/>
  <c r="P129" i="14" s="1"/>
  <c r="L129" i="14"/>
  <c r="K129" i="14"/>
  <c r="I129" i="14"/>
  <c r="J129" i="14" s="1"/>
  <c r="BP128" i="14"/>
  <c r="BM128" i="14"/>
  <c r="BN128" i="14" s="1"/>
  <c r="BG128" i="14"/>
  <c r="BF128" i="14" s="1"/>
  <c r="BA128" i="14"/>
  <c r="AU128" i="14"/>
  <c r="AQ128" i="14"/>
  <c r="AJ128" i="14"/>
  <c r="AL128" i="14" s="1"/>
  <c r="AG128" i="14"/>
  <c r="AC128" i="14"/>
  <c r="AB128" i="14"/>
  <c r="T128" i="14"/>
  <c r="U128" i="14" s="1"/>
  <c r="O128" i="14"/>
  <c r="L128" i="14"/>
  <c r="K128" i="14"/>
  <c r="I128" i="14"/>
  <c r="H128" i="14" s="1"/>
  <c r="BP127" i="14"/>
  <c r="BM127" i="14"/>
  <c r="BG127" i="14"/>
  <c r="BA127" i="14"/>
  <c r="BB127" i="14" s="1"/>
  <c r="AU127" i="14"/>
  <c r="AV127" i="14" s="1"/>
  <c r="AQ127" i="14"/>
  <c r="AJ127" i="14"/>
  <c r="AL127" i="14" s="1"/>
  <c r="AG127" i="14"/>
  <c r="AC127" i="14"/>
  <c r="AB127" i="14"/>
  <c r="T127" i="14"/>
  <c r="U127" i="14" s="1"/>
  <c r="O127" i="14"/>
  <c r="L127" i="14"/>
  <c r="K127" i="14"/>
  <c r="I127" i="14"/>
  <c r="H127" i="14" s="1"/>
  <c r="BP126" i="14"/>
  <c r="BM126" i="14"/>
  <c r="BN126" i="14" s="1"/>
  <c r="BG126" i="14"/>
  <c r="BA126" i="14"/>
  <c r="BB126" i="14" s="1"/>
  <c r="AV126" i="14"/>
  <c r="AU126" i="14"/>
  <c r="AT126" i="14" s="1"/>
  <c r="AQ126" i="14"/>
  <c r="AJ126" i="14"/>
  <c r="AL126" i="14" s="1"/>
  <c r="AG126" i="14"/>
  <c r="AC126" i="14"/>
  <c r="AB126" i="14"/>
  <c r="T126" i="14"/>
  <c r="U126" i="14" s="1"/>
  <c r="O126" i="14"/>
  <c r="P126" i="14" s="1"/>
  <c r="L126" i="14"/>
  <c r="K126" i="14"/>
  <c r="J126" i="14"/>
  <c r="I126" i="14"/>
  <c r="H126" i="14" s="1"/>
  <c r="BP125" i="14"/>
  <c r="BM125" i="14"/>
  <c r="BN125" i="14" s="1"/>
  <c r="BG125" i="14"/>
  <c r="BA125" i="14"/>
  <c r="AU125" i="14"/>
  <c r="AV125" i="14" s="1"/>
  <c r="AQ125" i="14"/>
  <c r="AJ125" i="14"/>
  <c r="AL125" i="14" s="1"/>
  <c r="AG125" i="14"/>
  <c r="AC125" i="14"/>
  <c r="AB125" i="14"/>
  <c r="T125" i="14"/>
  <c r="U125" i="14" s="1"/>
  <c r="O125" i="14"/>
  <c r="N125" i="14" s="1"/>
  <c r="L125" i="14"/>
  <c r="K125" i="14"/>
  <c r="I125" i="14"/>
  <c r="BP124" i="14"/>
  <c r="BM124" i="14"/>
  <c r="BN124" i="14" s="1"/>
  <c r="BG124" i="14"/>
  <c r="BF124" i="14" s="1"/>
  <c r="BA124" i="14"/>
  <c r="BB124" i="14" s="1"/>
  <c r="AU124" i="14"/>
  <c r="AQ124" i="14"/>
  <c r="AJ124" i="14"/>
  <c r="AL124" i="14" s="1"/>
  <c r="AG124" i="14"/>
  <c r="AC124" i="14"/>
  <c r="AB124" i="14"/>
  <c r="T124" i="14"/>
  <c r="U124" i="14" s="1"/>
  <c r="O124" i="14"/>
  <c r="P124" i="14" s="1"/>
  <c r="L124" i="14"/>
  <c r="K124" i="14"/>
  <c r="I124" i="14"/>
  <c r="J124" i="14" s="1"/>
  <c r="BP123" i="14"/>
  <c r="BM123" i="14"/>
  <c r="BN123" i="14" s="1"/>
  <c r="BL123" i="14"/>
  <c r="BG123" i="14"/>
  <c r="BA123" i="14"/>
  <c r="AU123" i="14"/>
  <c r="AT123" i="14" s="1"/>
  <c r="AQ123" i="14"/>
  <c r="AJ123" i="14"/>
  <c r="AL123" i="14" s="1"/>
  <c r="AG123" i="14"/>
  <c r="AC123" i="14"/>
  <c r="AB123" i="14"/>
  <c r="T123" i="14"/>
  <c r="U123" i="14" s="1"/>
  <c r="O123" i="14"/>
  <c r="L123" i="14"/>
  <c r="K123" i="14"/>
  <c r="I123" i="14"/>
  <c r="J123" i="14" s="1"/>
  <c r="BP122" i="14"/>
  <c r="BM122" i="14"/>
  <c r="BN122" i="14" s="1"/>
  <c r="BG122" i="14"/>
  <c r="BH122" i="14" s="1"/>
  <c r="BA122" i="14"/>
  <c r="BB122" i="14" s="1"/>
  <c r="AU122" i="14"/>
  <c r="AT122" i="14" s="1"/>
  <c r="AQ122" i="14"/>
  <c r="AJ122" i="14"/>
  <c r="AL122" i="14" s="1"/>
  <c r="AG122" i="14"/>
  <c r="AC122" i="14"/>
  <c r="AB122" i="14"/>
  <c r="U122" i="14"/>
  <c r="T122" i="14"/>
  <c r="O122" i="14"/>
  <c r="N122" i="14" s="1"/>
  <c r="L122" i="14"/>
  <c r="K122" i="14"/>
  <c r="I122" i="14"/>
  <c r="J122" i="14" s="1"/>
  <c r="H122" i="14"/>
  <c r="BP121" i="14"/>
  <c r="BN121" i="14"/>
  <c r="BM121" i="14"/>
  <c r="BL121" i="14" s="1"/>
  <c r="BG121" i="14"/>
  <c r="BF121" i="14" s="1"/>
  <c r="BA121" i="14"/>
  <c r="BB121" i="14" s="1"/>
  <c r="AU121" i="14"/>
  <c r="AQ121" i="14"/>
  <c r="AJ121" i="14"/>
  <c r="AL121" i="14" s="1"/>
  <c r="AG121" i="14"/>
  <c r="AC121" i="14"/>
  <c r="AB121" i="14"/>
  <c r="T121" i="14"/>
  <c r="U121" i="14" s="1"/>
  <c r="P121" i="14"/>
  <c r="O121" i="14"/>
  <c r="N121" i="14" s="1"/>
  <c r="L121" i="14"/>
  <c r="K121" i="14"/>
  <c r="I121" i="14"/>
  <c r="BP120" i="14"/>
  <c r="BM120" i="14"/>
  <c r="BG120" i="14"/>
  <c r="BH120" i="14" s="1"/>
  <c r="BA120" i="14"/>
  <c r="BB120" i="14" s="1"/>
  <c r="AU120" i="14"/>
  <c r="AQ120" i="14"/>
  <c r="AJ120" i="14"/>
  <c r="AL120" i="14" s="1"/>
  <c r="AG120" i="14"/>
  <c r="AC120" i="14"/>
  <c r="AB120" i="14"/>
  <c r="T120" i="14"/>
  <c r="U120" i="14" s="1"/>
  <c r="O120" i="14"/>
  <c r="P120" i="14" s="1"/>
  <c r="L120" i="14"/>
  <c r="K120" i="14"/>
  <c r="I120" i="14"/>
  <c r="H120" i="14" s="1"/>
  <c r="BP119" i="14"/>
  <c r="BM119" i="14"/>
  <c r="BN119" i="14" s="1"/>
  <c r="BG119" i="14"/>
  <c r="BA119" i="14"/>
  <c r="BB119" i="14" s="1"/>
  <c r="AU119" i="14"/>
  <c r="AV119" i="14" s="1"/>
  <c r="AQ119" i="14"/>
  <c r="AJ119" i="14"/>
  <c r="AL119" i="14" s="1"/>
  <c r="AG119" i="14"/>
  <c r="AC119" i="14"/>
  <c r="AB119" i="14"/>
  <c r="T119" i="14"/>
  <c r="U119" i="14" s="1"/>
  <c r="O119" i="14"/>
  <c r="N119" i="14" s="1"/>
  <c r="L119" i="14"/>
  <c r="K119" i="14"/>
  <c r="I119" i="14"/>
  <c r="J119" i="14" s="1"/>
  <c r="BP118" i="14"/>
  <c r="BM118" i="14"/>
  <c r="BG118" i="14"/>
  <c r="BF118" i="14" s="1"/>
  <c r="BA118" i="14"/>
  <c r="BB118" i="14" s="1"/>
  <c r="AU118" i="14"/>
  <c r="AV118" i="14" s="1"/>
  <c r="AQ118" i="14"/>
  <c r="AJ118" i="14"/>
  <c r="AL118" i="14" s="1"/>
  <c r="AG118" i="14"/>
  <c r="AC118" i="14"/>
  <c r="AB118" i="14"/>
  <c r="T118" i="14"/>
  <c r="U118" i="14" s="1"/>
  <c r="O118" i="14"/>
  <c r="P118" i="14" s="1"/>
  <c r="L118" i="14"/>
  <c r="K118" i="14"/>
  <c r="I118" i="14"/>
  <c r="J118" i="14" s="1"/>
  <c r="BP117" i="14"/>
  <c r="BM117" i="14"/>
  <c r="BN117" i="14" s="1"/>
  <c r="BG117" i="14"/>
  <c r="BH117" i="14" s="1"/>
  <c r="BA117" i="14"/>
  <c r="BB117" i="14" s="1"/>
  <c r="AU117" i="14"/>
  <c r="AV117" i="14" s="1"/>
  <c r="AQ117" i="14"/>
  <c r="AJ117" i="14"/>
  <c r="AL117" i="14" s="1"/>
  <c r="AG117" i="14"/>
  <c r="AC117" i="14"/>
  <c r="AB117" i="14"/>
  <c r="T117" i="14"/>
  <c r="U117" i="14" s="1"/>
  <c r="P117" i="14"/>
  <c r="O117" i="14"/>
  <c r="N117" i="14" s="1"/>
  <c r="L117" i="14"/>
  <c r="K117" i="14"/>
  <c r="I117" i="14"/>
  <c r="J117" i="14" s="1"/>
  <c r="BP116" i="14"/>
  <c r="BN116" i="14"/>
  <c r="BM116" i="14"/>
  <c r="BL116" i="14" s="1"/>
  <c r="BG116" i="14"/>
  <c r="BH116" i="14" s="1"/>
  <c r="BA116" i="14"/>
  <c r="BB116" i="14" s="1"/>
  <c r="AU116" i="14"/>
  <c r="AV116" i="14" s="1"/>
  <c r="AQ116" i="14"/>
  <c r="AJ116" i="14"/>
  <c r="AL116" i="14" s="1"/>
  <c r="AG116" i="14"/>
  <c r="AC116" i="14"/>
  <c r="AB116" i="14"/>
  <c r="T116" i="14"/>
  <c r="U116" i="14" s="1"/>
  <c r="O116" i="14"/>
  <c r="P116" i="14" s="1"/>
  <c r="L116" i="14"/>
  <c r="K116" i="14"/>
  <c r="I116" i="14"/>
  <c r="BP115" i="14"/>
  <c r="BM115" i="14"/>
  <c r="BN115" i="14" s="1"/>
  <c r="BG115" i="14"/>
  <c r="BH115" i="14" s="1"/>
  <c r="BA115" i="14"/>
  <c r="BB115" i="14" s="1"/>
  <c r="AU115" i="14"/>
  <c r="AV115" i="14" s="1"/>
  <c r="AQ115" i="14"/>
  <c r="AJ115" i="14"/>
  <c r="AL115" i="14" s="1"/>
  <c r="AG115" i="14"/>
  <c r="AC115" i="14"/>
  <c r="AB115" i="14"/>
  <c r="T115" i="14"/>
  <c r="U115" i="14" s="1"/>
  <c r="O115" i="14"/>
  <c r="P115" i="14" s="1"/>
  <c r="L115" i="14"/>
  <c r="K115" i="14"/>
  <c r="I115" i="14"/>
  <c r="J115" i="14" s="1"/>
  <c r="BP114" i="14"/>
  <c r="BM114" i="14"/>
  <c r="BN114" i="14" s="1"/>
  <c r="BG114" i="14"/>
  <c r="BH114" i="14" s="1"/>
  <c r="BA114" i="14"/>
  <c r="BB114" i="14" s="1"/>
  <c r="AU114" i="14"/>
  <c r="AV114" i="14" s="1"/>
  <c r="AT114" i="14"/>
  <c r="AQ114" i="14"/>
  <c r="AJ114" i="14"/>
  <c r="AL114" i="14" s="1"/>
  <c r="AG114" i="14"/>
  <c r="AC114" i="14"/>
  <c r="AB114" i="14"/>
  <c r="T114" i="14"/>
  <c r="U114" i="14" s="1"/>
  <c r="O114" i="14"/>
  <c r="P114" i="14" s="1"/>
  <c r="L114" i="14"/>
  <c r="K114" i="14"/>
  <c r="I114" i="14"/>
  <c r="BP113" i="14"/>
  <c r="BM113" i="14"/>
  <c r="BN113" i="14" s="1"/>
  <c r="BG113" i="14"/>
  <c r="BH113" i="14" s="1"/>
  <c r="BA113" i="14"/>
  <c r="BB113" i="14" s="1"/>
  <c r="AU113" i="14"/>
  <c r="AV113" i="14" s="1"/>
  <c r="AQ113" i="14"/>
  <c r="AJ113" i="14"/>
  <c r="AL113" i="14" s="1"/>
  <c r="AG113" i="14"/>
  <c r="AC113" i="14"/>
  <c r="AB113" i="14"/>
  <c r="T113" i="14"/>
  <c r="U113" i="14" s="1"/>
  <c r="O113" i="14"/>
  <c r="P113" i="14" s="1"/>
  <c r="L113" i="14"/>
  <c r="K113" i="14"/>
  <c r="I113" i="14"/>
  <c r="J113" i="14" s="1"/>
  <c r="BP112" i="14"/>
  <c r="BM112" i="14"/>
  <c r="BG112" i="14"/>
  <c r="BH112" i="14" s="1"/>
  <c r="BA112" i="14"/>
  <c r="AZ112" i="14" s="1"/>
  <c r="AU112" i="14"/>
  <c r="AV112" i="14" s="1"/>
  <c r="AQ112" i="14"/>
  <c r="AJ112" i="14"/>
  <c r="AL112" i="14" s="1"/>
  <c r="AG112" i="14"/>
  <c r="AC112" i="14"/>
  <c r="AB112" i="14"/>
  <c r="T112" i="14"/>
  <c r="U112" i="14" s="1"/>
  <c r="O112" i="14"/>
  <c r="P112" i="14" s="1"/>
  <c r="L112" i="14"/>
  <c r="K112" i="14"/>
  <c r="I112" i="14"/>
  <c r="J112" i="14" s="1"/>
  <c r="H112" i="14"/>
  <c r="BP111" i="14"/>
  <c r="BN111" i="14"/>
  <c r="BM111" i="14"/>
  <c r="BL111" i="14" s="1"/>
  <c r="BH111" i="14"/>
  <c r="BG111" i="14"/>
  <c r="BF111" i="14" s="1"/>
  <c r="BA111" i="14"/>
  <c r="AU111" i="14"/>
  <c r="AV111" i="14" s="1"/>
  <c r="AQ111" i="14"/>
  <c r="AJ111" i="14"/>
  <c r="AL111" i="14" s="1"/>
  <c r="AG111" i="14"/>
  <c r="AC111" i="14"/>
  <c r="AB111" i="14"/>
  <c r="T111" i="14"/>
  <c r="U111" i="14" s="1"/>
  <c r="O111" i="14"/>
  <c r="L111" i="14"/>
  <c r="K111" i="14"/>
  <c r="I111" i="14"/>
  <c r="H111" i="14" s="1"/>
  <c r="BP110" i="14"/>
  <c r="BM110" i="14"/>
  <c r="BG110" i="14"/>
  <c r="BH110" i="14" s="1"/>
  <c r="BF110" i="14"/>
  <c r="BB110" i="14"/>
  <c r="BA110" i="14"/>
  <c r="AZ110" i="14" s="1"/>
  <c r="AU110" i="14"/>
  <c r="AV110" i="14" s="1"/>
  <c r="AQ110" i="14"/>
  <c r="AJ110" i="14"/>
  <c r="AL110" i="14" s="1"/>
  <c r="AG110" i="14"/>
  <c r="AC110" i="14"/>
  <c r="AB110" i="14"/>
  <c r="T110" i="14"/>
  <c r="U110" i="14" s="1"/>
  <c r="O110" i="14"/>
  <c r="P110" i="14" s="1"/>
  <c r="L110" i="14"/>
  <c r="K110" i="14"/>
  <c r="J110" i="14"/>
  <c r="I110" i="14"/>
  <c r="H110" i="14" s="1"/>
  <c r="BP109" i="14"/>
  <c r="BM109" i="14"/>
  <c r="BL109" i="14" s="1"/>
  <c r="BG109" i="14"/>
  <c r="BH109" i="14" s="1"/>
  <c r="BA109" i="14"/>
  <c r="AU109" i="14"/>
  <c r="AV109" i="14" s="1"/>
  <c r="AQ109" i="14"/>
  <c r="AJ109" i="14"/>
  <c r="AL109" i="14" s="1"/>
  <c r="AG109" i="14"/>
  <c r="AC109" i="14"/>
  <c r="AB109" i="14"/>
  <c r="T109" i="14"/>
  <c r="U109" i="14" s="1"/>
  <c r="O109" i="14"/>
  <c r="L109" i="14"/>
  <c r="K109" i="14"/>
  <c r="I109" i="14"/>
  <c r="J109" i="14" s="1"/>
  <c r="BP108" i="14"/>
  <c r="BM108" i="14"/>
  <c r="BG108" i="14"/>
  <c r="BF108" i="14" s="1"/>
  <c r="BA108" i="14"/>
  <c r="AZ108" i="14" s="1"/>
  <c r="AU108" i="14"/>
  <c r="AV108" i="14" s="1"/>
  <c r="AT108" i="14"/>
  <c r="AQ108" i="14"/>
  <c r="AL108" i="14"/>
  <c r="AJ108" i="14"/>
  <c r="AG108" i="14"/>
  <c r="AC108" i="14"/>
  <c r="AB108" i="14"/>
  <c r="T108" i="14"/>
  <c r="U108" i="14" s="1"/>
  <c r="O108" i="14"/>
  <c r="P108" i="14" s="1"/>
  <c r="L108" i="14"/>
  <c r="K108" i="14"/>
  <c r="I108" i="14"/>
  <c r="J108" i="14" s="1"/>
  <c r="BP107" i="14"/>
  <c r="BM107" i="14"/>
  <c r="BL107" i="14" s="1"/>
  <c r="BH107" i="14"/>
  <c r="BG107" i="14"/>
  <c r="BF107" i="14" s="1"/>
  <c r="BA107" i="14"/>
  <c r="AU107" i="14"/>
  <c r="AV107" i="14" s="1"/>
  <c r="AQ107" i="14"/>
  <c r="AJ107" i="14"/>
  <c r="AL107" i="14" s="1"/>
  <c r="AG107" i="14"/>
  <c r="AC107" i="14"/>
  <c r="AB107" i="14"/>
  <c r="T107" i="14"/>
  <c r="U107" i="14" s="1"/>
  <c r="O107" i="14"/>
  <c r="L107" i="14"/>
  <c r="K107" i="14"/>
  <c r="I107" i="14"/>
  <c r="J107" i="14" s="1"/>
  <c r="BP106" i="14"/>
  <c r="BM106" i="14"/>
  <c r="BG106" i="14"/>
  <c r="BF106" i="14" s="1"/>
  <c r="BA106" i="14"/>
  <c r="AU106" i="14"/>
  <c r="AT106" i="14" s="1"/>
  <c r="AQ106" i="14"/>
  <c r="AL106" i="14"/>
  <c r="AJ106" i="14"/>
  <c r="AG106" i="14"/>
  <c r="AC106" i="14"/>
  <c r="AB106" i="14"/>
  <c r="T106" i="14"/>
  <c r="U106" i="14" s="1"/>
  <c r="O106" i="14"/>
  <c r="P106" i="14" s="1"/>
  <c r="L106" i="14"/>
  <c r="K106" i="14"/>
  <c r="I106" i="14"/>
  <c r="J106" i="14" s="1"/>
  <c r="BP105" i="14"/>
  <c r="BM105" i="14"/>
  <c r="BL105" i="14" s="1"/>
  <c r="BG105" i="14"/>
  <c r="BF105" i="14" s="1"/>
  <c r="BA105" i="14"/>
  <c r="AU105" i="14"/>
  <c r="AV105" i="14" s="1"/>
  <c r="AQ105" i="14"/>
  <c r="AJ105" i="14"/>
  <c r="AL105" i="14" s="1"/>
  <c r="AG105" i="14"/>
  <c r="AC105" i="14"/>
  <c r="AB105" i="14"/>
  <c r="T105" i="14"/>
  <c r="U105" i="14" s="1"/>
  <c r="O105" i="14"/>
  <c r="L105" i="14"/>
  <c r="K105" i="14"/>
  <c r="I105" i="14"/>
  <c r="J105" i="14" s="1"/>
  <c r="BP104" i="14"/>
  <c r="BM104" i="14"/>
  <c r="BG104" i="14"/>
  <c r="BH104" i="14" s="1"/>
  <c r="BA104" i="14"/>
  <c r="AZ104" i="14" s="1"/>
  <c r="AU104" i="14"/>
  <c r="AT104" i="14" s="1"/>
  <c r="AQ104" i="14"/>
  <c r="AJ104" i="14"/>
  <c r="AL104" i="14" s="1"/>
  <c r="AG104" i="14"/>
  <c r="AC104" i="14"/>
  <c r="AB104" i="14"/>
  <c r="U104" i="14"/>
  <c r="T104" i="14"/>
  <c r="O104" i="14"/>
  <c r="P104" i="14" s="1"/>
  <c r="L104" i="14"/>
  <c r="K104" i="14"/>
  <c r="I104" i="14"/>
  <c r="J104" i="14" s="1"/>
  <c r="H104" i="14"/>
  <c r="BP103" i="14"/>
  <c r="BM103" i="14"/>
  <c r="BL103" i="14" s="1"/>
  <c r="BG103" i="14"/>
  <c r="BF103" i="14" s="1"/>
  <c r="BA103" i="14"/>
  <c r="AU103" i="14"/>
  <c r="AT103" i="14" s="1"/>
  <c r="AQ103" i="14"/>
  <c r="AJ103" i="14"/>
  <c r="AL103" i="14" s="1"/>
  <c r="AG103" i="14"/>
  <c r="AC103" i="14"/>
  <c r="AB103" i="14"/>
  <c r="T103" i="14"/>
  <c r="U103" i="14" s="1"/>
  <c r="O103" i="14"/>
  <c r="L103" i="14"/>
  <c r="K103" i="14"/>
  <c r="J103" i="14"/>
  <c r="I103" i="14"/>
  <c r="H103" i="14" s="1"/>
  <c r="BP102" i="14"/>
  <c r="BM102" i="14"/>
  <c r="BG102" i="14"/>
  <c r="BH102" i="14" s="1"/>
  <c r="BA102" i="14"/>
  <c r="AZ102" i="14" s="1"/>
  <c r="AU102" i="14"/>
  <c r="AV102" i="14" s="1"/>
  <c r="AQ102" i="14"/>
  <c r="AJ102" i="14"/>
  <c r="AL102" i="14" s="1"/>
  <c r="AG102" i="14"/>
  <c r="AC102" i="14"/>
  <c r="AB102" i="14"/>
  <c r="U102" i="14"/>
  <c r="T102" i="14"/>
  <c r="O102" i="14"/>
  <c r="P102" i="14" s="1"/>
  <c r="L102" i="14"/>
  <c r="K102" i="14"/>
  <c r="I102" i="14"/>
  <c r="J102" i="14" s="1"/>
  <c r="BP101" i="14"/>
  <c r="BM101" i="14"/>
  <c r="BL101" i="14" s="1"/>
  <c r="BG101" i="14"/>
  <c r="BH101" i="14" s="1"/>
  <c r="BA101" i="14"/>
  <c r="AU101" i="14"/>
  <c r="AV101" i="14" s="1"/>
  <c r="AQ101" i="14"/>
  <c r="AJ101" i="14"/>
  <c r="AL101" i="14" s="1"/>
  <c r="AG101" i="14"/>
  <c r="AC101" i="14"/>
  <c r="AB101" i="14"/>
  <c r="T101" i="14"/>
  <c r="U101" i="14" s="1"/>
  <c r="O101" i="14"/>
  <c r="L101" i="14"/>
  <c r="K101" i="14"/>
  <c r="J101" i="14"/>
  <c r="I101" i="14"/>
  <c r="H101" i="14" s="1"/>
  <c r="BP100" i="14"/>
  <c r="BM100" i="14"/>
  <c r="BG100" i="14"/>
  <c r="BF100" i="14" s="1"/>
  <c r="BA100" i="14"/>
  <c r="AZ100" i="14" s="1"/>
  <c r="AU100" i="14"/>
  <c r="AV100" i="14" s="1"/>
  <c r="AQ100" i="14"/>
  <c r="AO100" i="14"/>
  <c r="AJ100" i="14"/>
  <c r="AL100" i="14" s="1"/>
  <c r="AH100" i="14"/>
  <c r="AG100" i="14"/>
  <c r="AC100" i="14"/>
  <c r="AB100" i="14"/>
  <c r="T100" i="14"/>
  <c r="U100" i="14" s="1"/>
  <c r="Q100" i="14"/>
  <c r="O100" i="14"/>
  <c r="P100" i="14" s="1"/>
  <c r="L100" i="14"/>
  <c r="K100" i="14"/>
  <c r="I100" i="14"/>
  <c r="J100" i="14" s="1"/>
  <c r="BP99" i="14"/>
  <c r="BM99" i="14"/>
  <c r="BL99" i="14" s="1"/>
  <c r="BG99" i="14"/>
  <c r="BA99" i="14"/>
  <c r="AZ99" i="14" s="1"/>
  <c r="AU99" i="14"/>
  <c r="AT99" i="14" s="1"/>
  <c r="AO99" i="14"/>
  <c r="AL99" i="14"/>
  <c r="AK99" i="14"/>
  <c r="AH99" i="14"/>
  <c r="AG99" i="14"/>
  <c r="AC99" i="14"/>
  <c r="AB99" i="14"/>
  <c r="T99" i="14"/>
  <c r="U99" i="14" s="1"/>
  <c r="Q99" i="14"/>
  <c r="O99" i="14"/>
  <c r="P99" i="14" s="1"/>
  <c r="L99" i="14"/>
  <c r="K99" i="14"/>
  <c r="I99" i="14"/>
  <c r="BP98" i="14"/>
  <c r="BM98" i="14"/>
  <c r="BL98" i="14" s="1"/>
  <c r="BG98" i="14"/>
  <c r="BH98" i="14" s="1"/>
  <c r="BA98" i="14"/>
  <c r="BB98" i="14" s="1"/>
  <c r="AU98" i="14"/>
  <c r="AV98" i="14" s="1"/>
  <c r="AO98" i="14"/>
  <c r="AL98" i="14"/>
  <c r="AK98" i="14" s="1"/>
  <c r="AH98" i="14"/>
  <c r="AG98" i="14"/>
  <c r="AC98" i="14"/>
  <c r="AB98" i="14"/>
  <c r="T98" i="14"/>
  <c r="U98" i="14" s="1"/>
  <c r="Q98" i="14"/>
  <c r="O98" i="14"/>
  <c r="P98" i="14" s="1"/>
  <c r="L98" i="14"/>
  <c r="K98" i="14"/>
  <c r="I98" i="14"/>
  <c r="J98" i="14" s="1"/>
  <c r="BP97" i="14"/>
  <c r="BM97" i="14"/>
  <c r="BN97" i="14" s="1"/>
  <c r="BL97" i="14"/>
  <c r="BG97" i="14"/>
  <c r="BH97" i="14" s="1"/>
  <c r="BA97" i="14"/>
  <c r="AZ97" i="14" s="1"/>
  <c r="AU97" i="14"/>
  <c r="AV97" i="14" s="1"/>
  <c r="AO97" i="14"/>
  <c r="AL97" i="14"/>
  <c r="AK97" i="14" s="1"/>
  <c r="AH97" i="14"/>
  <c r="AG97" i="14"/>
  <c r="AC97" i="14"/>
  <c r="AB97" i="14"/>
  <c r="T97" i="14"/>
  <c r="U97" i="14" s="1"/>
  <c r="Q97" i="14"/>
  <c r="O97" i="14"/>
  <c r="P97" i="14" s="1"/>
  <c r="L97" i="14"/>
  <c r="K97" i="14"/>
  <c r="I97" i="14"/>
  <c r="J97" i="14" s="1"/>
  <c r="BP96" i="14"/>
  <c r="BM96" i="14"/>
  <c r="BN96" i="14" s="1"/>
  <c r="BG96" i="14"/>
  <c r="BA96" i="14"/>
  <c r="BB96" i="14" s="1"/>
  <c r="AU96" i="14"/>
  <c r="AT96" i="14" s="1"/>
  <c r="AO96" i="14"/>
  <c r="AL96" i="14"/>
  <c r="AK96" i="14" s="1"/>
  <c r="AH96" i="14"/>
  <c r="AG96" i="14"/>
  <c r="AC96" i="14"/>
  <c r="AB96" i="14"/>
  <c r="T96" i="14"/>
  <c r="U96" i="14" s="1"/>
  <c r="Q96" i="14"/>
  <c r="O96" i="14"/>
  <c r="N96" i="14" s="1"/>
  <c r="L96" i="14"/>
  <c r="K96" i="14"/>
  <c r="I96" i="14"/>
  <c r="BP95" i="14"/>
  <c r="BM95" i="14"/>
  <c r="BG95" i="14"/>
  <c r="BH95" i="14" s="1"/>
  <c r="BA95" i="14"/>
  <c r="BB95" i="14" s="1"/>
  <c r="AU95" i="14"/>
  <c r="AV95" i="14" s="1"/>
  <c r="AO95" i="14"/>
  <c r="AL95" i="14"/>
  <c r="AK95" i="14" s="1"/>
  <c r="AH95" i="14"/>
  <c r="AG95" i="14"/>
  <c r="AC95" i="14"/>
  <c r="AB95" i="14"/>
  <c r="T95" i="14"/>
  <c r="U95" i="14" s="1"/>
  <c r="Q95" i="14"/>
  <c r="O95" i="14"/>
  <c r="P95" i="14" s="1"/>
  <c r="L95" i="14"/>
  <c r="K95" i="14"/>
  <c r="I95" i="14"/>
  <c r="BP94" i="14"/>
  <c r="BM94" i="14"/>
  <c r="BL94" i="14" s="1"/>
  <c r="BG94" i="14"/>
  <c r="BF94" i="14" s="1"/>
  <c r="BA94" i="14"/>
  <c r="BB94" i="14" s="1"/>
  <c r="AZ94" i="14"/>
  <c r="AU94" i="14"/>
  <c r="AV94" i="14" s="1"/>
  <c r="AO94" i="14"/>
  <c r="AL94" i="14"/>
  <c r="AK94" i="14" s="1"/>
  <c r="AH94" i="14"/>
  <c r="AG94" i="14"/>
  <c r="AC94" i="14"/>
  <c r="AB94" i="14"/>
  <c r="T94" i="14"/>
  <c r="U94" i="14" s="1"/>
  <c r="Q94" i="14"/>
  <c r="O94" i="14"/>
  <c r="P94" i="14" s="1"/>
  <c r="L94" i="14"/>
  <c r="K94" i="14"/>
  <c r="I94" i="14"/>
  <c r="J94" i="14" s="1"/>
  <c r="BP93" i="14"/>
  <c r="BM93" i="14"/>
  <c r="BN93" i="14" s="1"/>
  <c r="BL93" i="14"/>
  <c r="BG93" i="14"/>
  <c r="BA93" i="14"/>
  <c r="BB93" i="14" s="1"/>
  <c r="AZ93" i="14"/>
  <c r="AU93" i="14"/>
  <c r="AT93" i="14" s="1"/>
  <c r="AO93" i="14"/>
  <c r="AL93" i="14"/>
  <c r="AK93" i="14" s="1"/>
  <c r="AH93" i="14"/>
  <c r="AG93" i="14"/>
  <c r="AC93" i="14"/>
  <c r="AB93" i="14"/>
  <c r="T93" i="14"/>
  <c r="U93" i="14" s="1"/>
  <c r="Q93" i="14"/>
  <c r="O93" i="14"/>
  <c r="P93" i="14" s="1"/>
  <c r="L93" i="14"/>
  <c r="K93" i="14"/>
  <c r="I93" i="14"/>
  <c r="BP92" i="14"/>
  <c r="BM92" i="14"/>
  <c r="BL92" i="14" s="1"/>
  <c r="BG92" i="14"/>
  <c r="BA92" i="14"/>
  <c r="BB92" i="14" s="1"/>
  <c r="AU92" i="14"/>
  <c r="AV92" i="14" s="1"/>
  <c r="AO92" i="14"/>
  <c r="AL92" i="14"/>
  <c r="AK92" i="14" s="1"/>
  <c r="AH92" i="14"/>
  <c r="AG92" i="14"/>
  <c r="AC92" i="14"/>
  <c r="AB92" i="14"/>
  <c r="T92" i="14"/>
  <c r="U92" i="14" s="1"/>
  <c r="Q92" i="14"/>
  <c r="O92" i="14"/>
  <c r="P92" i="14" s="1"/>
  <c r="L92" i="14"/>
  <c r="K92" i="14"/>
  <c r="I92" i="14"/>
  <c r="BP91" i="14"/>
  <c r="BM91" i="14"/>
  <c r="BN91" i="14" s="1"/>
  <c r="BG91" i="14"/>
  <c r="BA91" i="14"/>
  <c r="BB91" i="14" s="1"/>
  <c r="AU91" i="14"/>
  <c r="AV91" i="14" s="1"/>
  <c r="AO91" i="14"/>
  <c r="AL91" i="14"/>
  <c r="AK91" i="14" s="1"/>
  <c r="AH91" i="14"/>
  <c r="AG91" i="14"/>
  <c r="AC91" i="14"/>
  <c r="AB91" i="14"/>
  <c r="T91" i="14"/>
  <c r="U91" i="14" s="1"/>
  <c r="Q91" i="14"/>
  <c r="O91" i="14"/>
  <c r="P91" i="14" s="1"/>
  <c r="L91" i="14"/>
  <c r="K91" i="14"/>
  <c r="I91" i="14"/>
  <c r="J91" i="14" s="1"/>
  <c r="BP90" i="14"/>
  <c r="BN90" i="14"/>
  <c r="BM90" i="14"/>
  <c r="BL90" i="14" s="1"/>
  <c r="BG90" i="14"/>
  <c r="BA90" i="14"/>
  <c r="BB90" i="14" s="1"/>
  <c r="AU90" i="14"/>
  <c r="AT90" i="14" s="1"/>
  <c r="AO90" i="14"/>
  <c r="AL90" i="14"/>
  <c r="AK90" i="14" s="1"/>
  <c r="AH90" i="14"/>
  <c r="AG90" i="14"/>
  <c r="AC90" i="14"/>
  <c r="AB90" i="14"/>
  <c r="T90" i="14"/>
  <c r="U90" i="14" s="1"/>
  <c r="Q90" i="14"/>
  <c r="O90" i="14"/>
  <c r="P90" i="14" s="1"/>
  <c r="L90" i="14"/>
  <c r="K90" i="14"/>
  <c r="I90" i="14"/>
  <c r="BP89" i="14"/>
  <c r="BM89" i="14"/>
  <c r="BG89" i="14"/>
  <c r="BA89" i="14"/>
  <c r="BB89" i="14" s="1"/>
  <c r="AU89" i="14"/>
  <c r="AV89" i="14" s="1"/>
  <c r="AO89" i="14"/>
  <c r="AL89" i="14"/>
  <c r="AK89" i="14" s="1"/>
  <c r="AH89" i="14"/>
  <c r="AG89" i="14"/>
  <c r="AC89" i="14"/>
  <c r="AB89" i="14"/>
  <c r="T89" i="14"/>
  <c r="U89" i="14" s="1"/>
  <c r="Q89" i="14"/>
  <c r="O89" i="14"/>
  <c r="P89" i="14" s="1"/>
  <c r="L89" i="14"/>
  <c r="K89" i="14"/>
  <c r="I89" i="14"/>
  <c r="C89" i="14"/>
  <c r="C101" i="14" s="1"/>
  <c r="BP88" i="14"/>
  <c r="BM88" i="14"/>
  <c r="BN88" i="14" s="1"/>
  <c r="BG88" i="14"/>
  <c r="BF88" i="14" s="1"/>
  <c r="BA88" i="14"/>
  <c r="BB88" i="14" s="1"/>
  <c r="AU88" i="14"/>
  <c r="AV88" i="14" s="1"/>
  <c r="AO88" i="14"/>
  <c r="AL88" i="14"/>
  <c r="AK88" i="14" s="1"/>
  <c r="AH88" i="14"/>
  <c r="AG88" i="14"/>
  <c r="AC88" i="14"/>
  <c r="AB88" i="14"/>
  <c r="T88" i="14"/>
  <c r="U88" i="14" s="1"/>
  <c r="Q88" i="14"/>
  <c r="P88" i="14"/>
  <c r="O88" i="14"/>
  <c r="N88" i="14" s="1"/>
  <c r="L88" i="14"/>
  <c r="K88" i="14"/>
  <c r="I88" i="14"/>
  <c r="H88" i="14" s="1"/>
  <c r="BP87" i="14"/>
  <c r="BM87" i="14"/>
  <c r="BN87" i="14" s="1"/>
  <c r="BL87" i="14"/>
  <c r="BG87" i="14"/>
  <c r="BA87" i="14"/>
  <c r="BB87" i="14" s="1"/>
  <c r="AU87" i="14"/>
  <c r="AT87" i="14" s="1"/>
  <c r="AO87" i="14"/>
  <c r="AL87" i="14"/>
  <c r="AK87" i="14" s="1"/>
  <c r="AH87" i="14"/>
  <c r="AG87" i="14"/>
  <c r="AC87" i="14"/>
  <c r="AB87" i="14"/>
  <c r="T87" i="14"/>
  <c r="U87" i="14" s="1"/>
  <c r="Q87" i="14"/>
  <c r="P87" i="14"/>
  <c r="O87" i="14"/>
  <c r="N87" i="14"/>
  <c r="L87" i="14"/>
  <c r="K87" i="14"/>
  <c r="I87" i="14"/>
  <c r="BP86" i="14"/>
  <c r="BM86" i="14"/>
  <c r="BL86" i="14" s="1"/>
  <c r="BG86" i="14"/>
  <c r="BA86" i="14"/>
  <c r="BB86" i="14" s="1"/>
  <c r="AU86" i="14"/>
  <c r="AV86" i="14" s="1"/>
  <c r="AO86" i="14"/>
  <c r="AL86" i="14"/>
  <c r="AK86" i="14" s="1"/>
  <c r="AH86" i="14"/>
  <c r="AG86" i="14"/>
  <c r="AC86" i="14"/>
  <c r="AB86" i="14"/>
  <c r="T86" i="14"/>
  <c r="U86" i="14" s="1"/>
  <c r="Q86" i="14"/>
  <c r="O86" i="14"/>
  <c r="P86" i="14" s="1"/>
  <c r="L86" i="14"/>
  <c r="K86" i="14"/>
  <c r="I86" i="14"/>
  <c r="BP85" i="14"/>
  <c r="BM85" i="14"/>
  <c r="BN85" i="14" s="1"/>
  <c r="BG85" i="14"/>
  <c r="BF85" i="14" s="1"/>
  <c r="BA85" i="14"/>
  <c r="BB85" i="14" s="1"/>
  <c r="AU85" i="14"/>
  <c r="AV85" i="14" s="1"/>
  <c r="AL85" i="14"/>
  <c r="AK85" i="14" s="1"/>
  <c r="AH85" i="14"/>
  <c r="AG85" i="14"/>
  <c r="AC85" i="14"/>
  <c r="AB85" i="14"/>
  <c r="T85" i="14"/>
  <c r="U85" i="14" s="1"/>
  <c r="Q85" i="14"/>
  <c r="O85" i="14"/>
  <c r="P85" i="14" s="1"/>
  <c r="L85" i="14"/>
  <c r="K85" i="14"/>
  <c r="J85" i="14"/>
  <c r="I85" i="14"/>
  <c r="H85" i="14" s="1"/>
  <c r="BP84" i="14"/>
  <c r="BM84" i="14"/>
  <c r="BG84" i="14"/>
  <c r="BH84" i="14" s="1"/>
  <c r="BA84" i="14"/>
  <c r="BB84" i="14" s="1"/>
  <c r="AU84" i="14"/>
  <c r="AT84" i="14" s="1"/>
  <c r="AL84" i="14"/>
  <c r="AK84" i="14" s="1"/>
  <c r="AH84" i="14"/>
  <c r="AG84" i="14"/>
  <c r="AC84" i="14"/>
  <c r="AB84" i="14"/>
  <c r="T84" i="14"/>
  <c r="U84" i="14" s="1"/>
  <c r="Q84" i="14"/>
  <c r="O84" i="14"/>
  <c r="N84" i="14" s="1"/>
  <c r="L84" i="14"/>
  <c r="K84" i="14"/>
  <c r="I84" i="14"/>
  <c r="J84" i="14" s="1"/>
  <c r="BP83" i="14"/>
  <c r="BM83" i="14"/>
  <c r="BL83" i="14" s="1"/>
  <c r="BG83" i="14"/>
  <c r="BF83" i="14" s="1"/>
  <c r="BA83" i="14"/>
  <c r="BB83" i="14" s="1"/>
  <c r="AU83" i="14"/>
  <c r="AL83" i="14"/>
  <c r="AK83" i="14" s="1"/>
  <c r="AH83" i="14"/>
  <c r="AG83" i="14"/>
  <c r="AC83" i="14"/>
  <c r="AB83" i="14"/>
  <c r="T83" i="14"/>
  <c r="U83" i="14" s="1"/>
  <c r="Q83" i="14"/>
  <c r="O83" i="14"/>
  <c r="L83" i="14"/>
  <c r="K83" i="14"/>
  <c r="I83" i="14"/>
  <c r="H83" i="14" s="1"/>
  <c r="BP82" i="14"/>
  <c r="BM82" i="14"/>
  <c r="BN82" i="14" s="1"/>
  <c r="BG82" i="14"/>
  <c r="BH82" i="14" s="1"/>
  <c r="BA82" i="14"/>
  <c r="BB82" i="14" s="1"/>
  <c r="AV82" i="14"/>
  <c r="AU82" i="14"/>
  <c r="AT82" i="14" s="1"/>
  <c r="AL82" i="14"/>
  <c r="AK82" i="14" s="1"/>
  <c r="AH82" i="14"/>
  <c r="AG82" i="14"/>
  <c r="AC82" i="14"/>
  <c r="AB82" i="14"/>
  <c r="T82" i="14"/>
  <c r="U82" i="14" s="1"/>
  <c r="Q82" i="14"/>
  <c r="O82" i="14"/>
  <c r="N82" i="14" s="1"/>
  <c r="L82" i="14"/>
  <c r="K82" i="14"/>
  <c r="I82" i="14"/>
  <c r="BP81" i="14"/>
  <c r="BM81" i="14"/>
  <c r="BL81" i="14" s="1"/>
  <c r="BG81" i="14"/>
  <c r="BA81" i="14"/>
  <c r="BB81" i="14" s="1"/>
  <c r="AU81" i="14"/>
  <c r="AL81" i="14"/>
  <c r="AK81" i="14" s="1"/>
  <c r="AH81" i="14"/>
  <c r="AG81" i="14"/>
  <c r="AC81" i="14"/>
  <c r="AB81" i="14"/>
  <c r="T81" i="14"/>
  <c r="U81" i="14" s="1"/>
  <c r="Q81" i="14"/>
  <c r="O81" i="14"/>
  <c r="P81" i="14" s="1"/>
  <c r="L81" i="14"/>
  <c r="K81" i="14"/>
  <c r="I81" i="14"/>
  <c r="J81" i="14" s="1"/>
  <c r="BP80" i="14"/>
  <c r="BM80" i="14"/>
  <c r="BG80" i="14"/>
  <c r="BH80" i="14" s="1"/>
  <c r="BA80" i="14"/>
  <c r="AZ80" i="14" s="1"/>
  <c r="AV80" i="14"/>
  <c r="AU80" i="14"/>
  <c r="AT80" i="14" s="1"/>
  <c r="AL80" i="14"/>
  <c r="AK80" i="14" s="1"/>
  <c r="AH80" i="14"/>
  <c r="AG80" i="14"/>
  <c r="AC80" i="14"/>
  <c r="AB80" i="14"/>
  <c r="T80" i="14"/>
  <c r="U80" i="14" s="1"/>
  <c r="Q80" i="14"/>
  <c r="O80" i="14"/>
  <c r="N80" i="14" s="1"/>
  <c r="L80" i="14"/>
  <c r="K80" i="14"/>
  <c r="I80" i="14"/>
  <c r="J80" i="14" s="1"/>
  <c r="BP79" i="14"/>
  <c r="BM79" i="14"/>
  <c r="BN79" i="14" s="1"/>
  <c r="BG79" i="14"/>
  <c r="BH79" i="14" s="1"/>
  <c r="BA79" i="14"/>
  <c r="AZ79" i="14" s="1"/>
  <c r="AU79" i="14"/>
  <c r="AT79" i="14" s="1"/>
  <c r="AL79" i="14"/>
  <c r="AK79" i="14" s="1"/>
  <c r="AH79" i="14"/>
  <c r="AG79" i="14"/>
  <c r="AC79" i="14"/>
  <c r="AB79" i="14"/>
  <c r="U79" i="14"/>
  <c r="T79" i="14"/>
  <c r="Q79" i="14"/>
  <c r="O79" i="14"/>
  <c r="L79" i="14"/>
  <c r="K79" i="14"/>
  <c r="I79" i="14"/>
  <c r="J79" i="14" s="1"/>
  <c r="BP78" i="14"/>
  <c r="BM78" i="14"/>
  <c r="BN78" i="14" s="1"/>
  <c r="BG78" i="14"/>
  <c r="BF78" i="14" s="1"/>
  <c r="BA78" i="14"/>
  <c r="AU78" i="14"/>
  <c r="AV78" i="14" s="1"/>
  <c r="AL78" i="14"/>
  <c r="AK78" i="14"/>
  <c r="AH78" i="14"/>
  <c r="AG78" i="14"/>
  <c r="AC78" i="14"/>
  <c r="AB78" i="14"/>
  <c r="T78" i="14"/>
  <c r="U78" i="14" s="1"/>
  <c r="Q78" i="14"/>
  <c r="O78" i="14"/>
  <c r="P78" i="14" s="1"/>
  <c r="L78" i="14"/>
  <c r="K78" i="14"/>
  <c r="I78" i="14"/>
  <c r="J78" i="14" s="1"/>
  <c r="BP77" i="14"/>
  <c r="BM77" i="14"/>
  <c r="BL77" i="14" s="1"/>
  <c r="BG77" i="14"/>
  <c r="BF77" i="14" s="1"/>
  <c r="BA77" i="14"/>
  <c r="BB77" i="14" s="1"/>
  <c r="AU77" i="14"/>
  <c r="AT77" i="14" s="1"/>
  <c r="AL77" i="14"/>
  <c r="AK77" i="14" s="1"/>
  <c r="AH77" i="14"/>
  <c r="AG77" i="14"/>
  <c r="AC77" i="14"/>
  <c r="AB77" i="14"/>
  <c r="T77" i="14"/>
  <c r="U77" i="14" s="1"/>
  <c r="Q77" i="14"/>
  <c r="O77" i="14"/>
  <c r="N77" i="14" s="1"/>
  <c r="L77" i="14"/>
  <c r="K77" i="14"/>
  <c r="I77" i="14"/>
  <c r="J77" i="14" s="1"/>
  <c r="BP76" i="14"/>
  <c r="BM76" i="14"/>
  <c r="BN76" i="14" s="1"/>
  <c r="BG76" i="14"/>
  <c r="BF76" i="14" s="1"/>
  <c r="BA76" i="14"/>
  <c r="AZ76" i="14" s="1"/>
  <c r="AU76" i="14"/>
  <c r="AL76" i="14"/>
  <c r="AK76" i="14" s="1"/>
  <c r="AH76" i="14"/>
  <c r="AG76" i="14"/>
  <c r="AC76" i="14"/>
  <c r="AB76" i="14"/>
  <c r="T76" i="14"/>
  <c r="U76" i="14" s="1"/>
  <c r="Q76" i="14"/>
  <c r="O76" i="14"/>
  <c r="N76" i="14" s="1"/>
  <c r="L76" i="14"/>
  <c r="K76" i="14"/>
  <c r="J76" i="14"/>
  <c r="I76" i="14"/>
  <c r="H76" i="14" s="1"/>
  <c r="BP75" i="14"/>
  <c r="BM75" i="14"/>
  <c r="BN75" i="14" s="1"/>
  <c r="BG75" i="14"/>
  <c r="BH75" i="14" s="1"/>
  <c r="BF75" i="14"/>
  <c r="BA75" i="14"/>
  <c r="AZ75" i="14" s="1"/>
  <c r="AU75" i="14"/>
  <c r="AT75" i="14" s="1"/>
  <c r="AL75" i="14"/>
  <c r="AK75" i="14"/>
  <c r="AH75" i="14"/>
  <c r="AG75" i="14"/>
  <c r="AC75" i="14"/>
  <c r="AB75" i="14"/>
  <c r="T75" i="14"/>
  <c r="U75" i="14" s="1"/>
  <c r="Q75" i="14"/>
  <c r="O75" i="14"/>
  <c r="N75" i="14" s="1"/>
  <c r="L75" i="14"/>
  <c r="K75" i="14"/>
  <c r="J75" i="14"/>
  <c r="I75" i="14"/>
  <c r="H75" i="14" s="1"/>
  <c r="C75" i="14"/>
  <c r="C87" i="14" s="1"/>
  <c r="C99" i="14" s="1"/>
  <c r="C111" i="14" s="1"/>
  <c r="C123" i="14" s="1"/>
  <c r="C135" i="14" s="1"/>
  <c r="C147" i="14" s="1"/>
  <c r="C159" i="14" s="1"/>
  <c r="BP74" i="14"/>
  <c r="BN74" i="14"/>
  <c r="BM74" i="14"/>
  <c r="BL74" i="14" s="1"/>
  <c r="BG74" i="14"/>
  <c r="BH74" i="14" s="1"/>
  <c r="BB74" i="14"/>
  <c r="BA74" i="14"/>
  <c r="AZ74" i="14"/>
  <c r="AU74" i="14"/>
  <c r="AV74" i="14" s="1"/>
  <c r="AL74" i="14"/>
  <c r="AK74" i="14" s="1"/>
  <c r="AH74" i="14"/>
  <c r="AG74" i="14"/>
  <c r="AC74" i="14"/>
  <c r="AB74" i="14"/>
  <c r="T74" i="14"/>
  <c r="U74" i="14" s="1"/>
  <c r="Q74" i="14"/>
  <c r="O74" i="14"/>
  <c r="P74" i="14" s="1"/>
  <c r="L74" i="14"/>
  <c r="K74" i="14"/>
  <c r="I74" i="14"/>
  <c r="H74" i="14" s="1"/>
  <c r="C74" i="14"/>
  <c r="C86" i="14" s="1"/>
  <c r="C98" i="14" s="1"/>
  <c r="C110" i="14" s="1"/>
  <c r="C122" i="14" s="1"/>
  <c r="C134" i="14" s="1"/>
  <c r="C146" i="14" s="1"/>
  <c r="C158" i="14" s="1"/>
  <c r="BP73" i="14"/>
  <c r="BM73" i="14"/>
  <c r="BL73" i="14" s="1"/>
  <c r="BG73" i="14"/>
  <c r="BF73" i="14" s="1"/>
  <c r="BA73" i="14"/>
  <c r="AZ73" i="14" s="1"/>
  <c r="AU73" i="14"/>
  <c r="AV73" i="14" s="1"/>
  <c r="AL73" i="14"/>
  <c r="AK73" i="14" s="1"/>
  <c r="AH73" i="14"/>
  <c r="AG73" i="14"/>
  <c r="AC73" i="14"/>
  <c r="AB73" i="14"/>
  <c r="T73" i="14"/>
  <c r="U73" i="14" s="1"/>
  <c r="Q73" i="14"/>
  <c r="O73" i="14"/>
  <c r="P73" i="14" s="1"/>
  <c r="L73" i="14"/>
  <c r="K73" i="14"/>
  <c r="I73" i="14"/>
  <c r="J73" i="14" s="1"/>
  <c r="C73" i="14"/>
  <c r="C85" i="14" s="1"/>
  <c r="C97" i="14" s="1"/>
  <c r="C109" i="14" s="1"/>
  <c r="C121" i="14" s="1"/>
  <c r="C133" i="14" s="1"/>
  <c r="C145" i="14" s="1"/>
  <c r="C157" i="14" s="1"/>
  <c r="BP72" i="14"/>
  <c r="BM72" i="14"/>
  <c r="BN72" i="14" s="1"/>
  <c r="BG72" i="14"/>
  <c r="BF72" i="14" s="1"/>
  <c r="BA72" i="14"/>
  <c r="BB72" i="14" s="1"/>
  <c r="AU72" i="14"/>
  <c r="AT72" i="14" s="1"/>
  <c r="AL72" i="14"/>
  <c r="AK72" i="14" s="1"/>
  <c r="AH72" i="14"/>
  <c r="AG72" i="14"/>
  <c r="AC72" i="14"/>
  <c r="AB72" i="14"/>
  <c r="T72" i="14"/>
  <c r="U72" i="14" s="1"/>
  <c r="Q72" i="14"/>
  <c r="O72" i="14"/>
  <c r="L72" i="14"/>
  <c r="K72" i="14"/>
  <c r="I72" i="14"/>
  <c r="J72" i="14" s="1"/>
  <c r="C72" i="14"/>
  <c r="C84" i="14" s="1"/>
  <c r="C96" i="14" s="1"/>
  <c r="C108" i="14" s="1"/>
  <c r="C120" i="14" s="1"/>
  <c r="C132" i="14" s="1"/>
  <c r="C144" i="14" s="1"/>
  <c r="C156" i="14" s="1"/>
  <c r="BP71" i="14"/>
  <c r="BM71" i="14"/>
  <c r="BN71" i="14" s="1"/>
  <c r="BH71" i="14"/>
  <c r="BG71" i="14"/>
  <c r="BF71" i="14" s="1"/>
  <c r="BA71" i="14"/>
  <c r="BB71" i="14" s="1"/>
  <c r="AU71" i="14"/>
  <c r="AV71" i="14" s="1"/>
  <c r="AL71" i="14"/>
  <c r="AK71" i="14" s="1"/>
  <c r="AH71" i="14"/>
  <c r="AG71" i="14"/>
  <c r="AC71" i="14"/>
  <c r="AB71" i="14"/>
  <c r="T71" i="14"/>
  <c r="U71" i="14" s="1"/>
  <c r="Q71" i="14"/>
  <c r="O71" i="14"/>
  <c r="P71" i="14" s="1"/>
  <c r="L71" i="14"/>
  <c r="K71" i="14"/>
  <c r="I71" i="14"/>
  <c r="H71" i="14" s="1"/>
  <c r="C71" i="14"/>
  <c r="C83" i="14" s="1"/>
  <c r="C95" i="14" s="1"/>
  <c r="C107" i="14" s="1"/>
  <c r="C119" i="14" s="1"/>
  <c r="C131" i="14" s="1"/>
  <c r="C143" i="14" s="1"/>
  <c r="C155" i="14" s="1"/>
  <c r="BP70" i="14"/>
  <c r="BM70" i="14"/>
  <c r="BN70" i="14" s="1"/>
  <c r="BG70" i="14"/>
  <c r="BH70" i="14" s="1"/>
  <c r="BA70" i="14"/>
  <c r="AZ70" i="14" s="1"/>
  <c r="AU70" i="14"/>
  <c r="AV70" i="14" s="1"/>
  <c r="AL70" i="14"/>
  <c r="AK70" i="14" s="1"/>
  <c r="AH70" i="14"/>
  <c r="AG70" i="14"/>
  <c r="AC70" i="14"/>
  <c r="AB70" i="14"/>
  <c r="T70" i="14"/>
  <c r="U70" i="14" s="1"/>
  <c r="Q70" i="14"/>
  <c r="O70" i="14"/>
  <c r="L70" i="14"/>
  <c r="K70" i="14"/>
  <c r="I70" i="14"/>
  <c r="H70" i="14" s="1"/>
  <c r="C70" i="14"/>
  <c r="C82" i="14" s="1"/>
  <c r="C94" i="14" s="1"/>
  <c r="C106" i="14" s="1"/>
  <c r="C118" i="14" s="1"/>
  <c r="C130" i="14" s="1"/>
  <c r="C142" i="14" s="1"/>
  <c r="C154" i="14" s="1"/>
  <c r="BP69" i="14"/>
  <c r="BM69" i="14"/>
  <c r="BL69" i="14" s="1"/>
  <c r="BG69" i="14"/>
  <c r="BH69" i="14" s="1"/>
  <c r="BA69" i="14"/>
  <c r="AZ69" i="14" s="1"/>
  <c r="AU69" i="14"/>
  <c r="AV69" i="14" s="1"/>
  <c r="AL69" i="14"/>
  <c r="AK69" i="14" s="1"/>
  <c r="AH69" i="14"/>
  <c r="AG69" i="14"/>
  <c r="AC69" i="14"/>
  <c r="AB69" i="14"/>
  <c r="T69" i="14"/>
  <c r="U69" i="14" s="1"/>
  <c r="Q69" i="14"/>
  <c r="O69" i="14"/>
  <c r="N69" i="14" s="1"/>
  <c r="L69" i="14"/>
  <c r="K69" i="14"/>
  <c r="I69" i="14"/>
  <c r="J69" i="14" s="1"/>
  <c r="C69" i="14"/>
  <c r="C81" i="14" s="1"/>
  <c r="C93" i="14" s="1"/>
  <c r="C105" i="14" s="1"/>
  <c r="C117" i="14" s="1"/>
  <c r="C129" i="14" s="1"/>
  <c r="C141" i="14" s="1"/>
  <c r="C153" i="14" s="1"/>
  <c r="BP68" i="14"/>
  <c r="BM68" i="14"/>
  <c r="BN68" i="14" s="1"/>
  <c r="BL68" i="14"/>
  <c r="BG68" i="14"/>
  <c r="BA68" i="14"/>
  <c r="BB68" i="14" s="1"/>
  <c r="AU68" i="14"/>
  <c r="AV68" i="14" s="1"/>
  <c r="AL68" i="14"/>
  <c r="AK68" i="14" s="1"/>
  <c r="AH68" i="14"/>
  <c r="AG68" i="14"/>
  <c r="AC68" i="14"/>
  <c r="AB68" i="14"/>
  <c r="T68" i="14"/>
  <c r="U68" i="14" s="1"/>
  <c r="Q68" i="14"/>
  <c r="P68" i="14"/>
  <c r="O68" i="14"/>
  <c r="N68" i="14" s="1"/>
  <c r="L68" i="14"/>
  <c r="K68" i="14"/>
  <c r="I68" i="14"/>
  <c r="J68" i="14" s="1"/>
  <c r="C68" i="14"/>
  <c r="C80" i="14" s="1"/>
  <c r="C92" i="14" s="1"/>
  <c r="C104" i="14" s="1"/>
  <c r="C116" i="14" s="1"/>
  <c r="C128" i="14" s="1"/>
  <c r="C140" i="14" s="1"/>
  <c r="C152" i="14" s="1"/>
  <c r="BP67" i="14"/>
  <c r="BM67" i="14"/>
  <c r="BN67" i="14" s="1"/>
  <c r="BG67" i="14"/>
  <c r="BH67" i="14" s="1"/>
  <c r="BA67" i="14"/>
  <c r="BB67" i="14" s="1"/>
  <c r="AU67" i="14"/>
  <c r="AL67" i="14"/>
  <c r="AK67" i="14" s="1"/>
  <c r="AH67" i="14"/>
  <c r="AG67" i="14"/>
  <c r="AC67" i="14"/>
  <c r="AB67" i="14"/>
  <c r="T67" i="14"/>
  <c r="U67" i="14" s="1"/>
  <c r="Q67" i="14"/>
  <c r="O67" i="14"/>
  <c r="P67" i="14" s="1"/>
  <c r="L67" i="14"/>
  <c r="K67" i="14"/>
  <c r="I67" i="14"/>
  <c r="H67" i="14" s="1"/>
  <c r="C67" i="14"/>
  <c r="C79" i="14" s="1"/>
  <c r="C91" i="14" s="1"/>
  <c r="C103" i="14" s="1"/>
  <c r="C115" i="14" s="1"/>
  <c r="C127" i="14" s="1"/>
  <c r="C139" i="14" s="1"/>
  <c r="C151" i="14" s="1"/>
  <c r="BP66" i="14"/>
  <c r="BM66" i="14"/>
  <c r="BN66" i="14" s="1"/>
  <c r="BL66" i="14"/>
  <c r="BG66" i="14"/>
  <c r="BF66" i="14" s="1"/>
  <c r="BA66" i="14"/>
  <c r="BB66" i="14" s="1"/>
  <c r="AU66" i="14"/>
  <c r="AT66" i="14" s="1"/>
  <c r="AL66" i="14"/>
  <c r="AK66" i="14" s="1"/>
  <c r="AH66" i="14"/>
  <c r="AG66" i="14"/>
  <c r="AC66" i="14"/>
  <c r="AB66" i="14"/>
  <c r="T66" i="14"/>
  <c r="U66" i="14" s="1"/>
  <c r="Q66" i="14"/>
  <c r="O66" i="14"/>
  <c r="N66" i="14" s="1"/>
  <c r="L66" i="14"/>
  <c r="K66" i="14"/>
  <c r="I66" i="14"/>
  <c r="J66" i="14" s="1"/>
  <c r="C66" i="14"/>
  <c r="C78" i="14" s="1"/>
  <c r="C90" i="14" s="1"/>
  <c r="C102" i="14" s="1"/>
  <c r="C114" i="14" s="1"/>
  <c r="C126" i="14" s="1"/>
  <c r="C138" i="14" s="1"/>
  <c r="C150" i="14" s="1"/>
  <c r="BP65" i="14"/>
  <c r="BM65" i="14"/>
  <c r="BL65" i="14" s="1"/>
  <c r="BG65" i="14"/>
  <c r="BH65" i="14" s="1"/>
  <c r="BA65" i="14"/>
  <c r="BB65" i="14" s="1"/>
  <c r="AU65" i="14"/>
  <c r="AV65" i="14" s="1"/>
  <c r="AL65" i="14"/>
  <c r="AK65" i="14" s="1"/>
  <c r="AH65" i="14"/>
  <c r="AG65" i="14"/>
  <c r="AC65" i="14"/>
  <c r="AB65" i="14"/>
  <c r="T65" i="14"/>
  <c r="U65" i="14" s="1"/>
  <c r="Q65" i="14"/>
  <c r="O65" i="14"/>
  <c r="N65" i="14" s="1"/>
  <c r="L65" i="14"/>
  <c r="K65" i="14"/>
  <c r="I65" i="14"/>
  <c r="H65" i="14" s="1"/>
  <c r="BP64" i="14"/>
  <c r="BM64" i="14"/>
  <c r="BG64" i="14"/>
  <c r="BH64" i="14" s="1"/>
  <c r="BB64" i="14"/>
  <c r="BA64" i="14"/>
  <c r="AZ64" i="14" s="1"/>
  <c r="AU64" i="14"/>
  <c r="AT64" i="14" s="1"/>
  <c r="AL64" i="14"/>
  <c r="AK64" i="14" s="1"/>
  <c r="AH64" i="14"/>
  <c r="AG64" i="14"/>
  <c r="AC64" i="14"/>
  <c r="AB64" i="14"/>
  <c r="T64" i="14"/>
  <c r="U64" i="14" s="1"/>
  <c r="Q64" i="14"/>
  <c r="P64" i="14"/>
  <c r="O64" i="14"/>
  <c r="N64" i="14" s="1"/>
  <c r="L64" i="14"/>
  <c r="K64" i="14"/>
  <c r="I64" i="14"/>
  <c r="H64" i="14" s="1"/>
  <c r="C64" i="14"/>
  <c r="C76" i="14" s="1"/>
  <c r="C88" i="14" s="1"/>
  <c r="C100" i="14" s="1"/>
  <c r="C112" i="14" s="1"/>
  <c r="C124" i="14" s="1"/>
  <c r="C136" i="14" s="1"/>
  <c r="C148" i="14" s="1"/>
  <c r="BP63" i="14"/>
  <c r="BM63" i="14"/>
  <c r="BN63" i="14" s="1"/>
  <c r="BG63" i="14"/>
  <c r="BH63" i="14" s="1"/>
  <c r="BA63" i="14"/>
  <c r="BB63" i="14" s="1"/>
  <c r="AU63" i="14"/>
  <c r="AH63" i="14"/>
  <c r="AG63" i="14"/>
  <c r="AC63" i="14"/>
  <c r="AB63" i="14"/>
  <c r="T63" i="14"/>
  <c r="U63" i="14" s="1"/>
  <c r="Q63" i="14"/>
  <c r="O63" i="14"/>
  <c r="N63" i="14" s="1"/>
  <c r="L63" i="14"/>
  <c r="K63" i="14"/>
  <c r="I63" i="14"/>
  <c r="J63" i="14" s="1"/>
  <c r="BP62" i="14"/>
  <c r="BM62" i="14"/>
  <c r="BN62" i="14" s="1"/>
  <c r="BG62" i="14"/>
  <c r="BF62" i="14" s="1"/>
  <c r="BA62" i="14"/>
  <c r="BB62" i="14" s="1"/>
  <c r="AU62" i="14"/>
  <c r="AT62" i="14" s="1"/>
  <c r="AH62" i="14"/>
  <c r="AG62" i="14"/>
  <c r="AC62" i="14"/>
  <c r="AB62" i="14"/>
  <c r="T62" i="14"/>
  <c r="U62" i="14" s="1"/>
  <c r="Q62" i="14"/>
  <c r="O62" i="14"/>
  <c r="P62" i="14" s="1"/>
  <c r="L62" i="14"/>
  <c r="K62" i="14"/>
  <c r="I62" i="14"/>
  <c r="J62" i="14" s="1"/>
  <c r="BP61" i="14"/>
  <c r="BM61" i="14"/>
  <c r="BN61" i="14" s="1"/>
  <c r="BG61" i="14"/>
  <c r="BH61" i="14" s="1"/>
  <c r="BF61" i="14"/>
  <c r="BB61" i="14"/>
  <c r="BA61" i="14"/>
  <c r="AZ61" i="14" s="1"/>
  <c r="AU61" i="14"/>
  <c r="AV61" i="14" s="1"/>
  <c r="AH61" i="14"/>
  <c r="AG61" i="14"/>
  <c r="AC61" i="14"/>
  <c r="AB61" i="14"/>
  <c r="T61" i="14"/>
  <c r="U61" i="14" s="1"/>
  <c r="Q61" i="14"/>
  <c r="O61" i="14"/>
  <c r="P61" i="14" s="1"/>
  <c r="L61" i="14"/>
  <c r="K61" i="14"/>
  <c r="J61" i="14"/>
  <c r="I61" i="14"/>
  <c r="H61" i="14"/>
  <c r="BP60" i="14"/>
  <c r="BM60" i="14"/>
  <c r="BN60" i="14" s="1"/>
  <c r="BG60" i="14"/>
  <c r="BH60" i="14" s="1"/>
  <c r="BA60" i="14"/>
  <c r="AZ60" i="14" s="1"/>
  <c r="AU60" i="14"/>
  <c r="AV60" i="14" s="1"/>
  <c r="AH60" i="14"/>
  <c r="AG60" i="14"/>
  <c r="AC60" i="14"/>
  <c r="AB60" i="14"/>
  <c r="T60" i="14"/>
  <c r="U60" i="14" s="1"/>
  <c r="Q60" i="14"/>
  <c r="O60" i="14"/>
  <c r="L60" i="14"/>
  <c r="K60" i="14"/>
  <c r="I60" i="14"/>
  <c r="J60" i="14" s="1"/>
  <c r="BP59" i="14"/>
  <c r="BM59" i="14"/>
  <c r="BL59" i="14" s="1"/>
  <c r="BG59" i="14"/>
  <c r="BF59" i="14" s="1"/>
  <c r="BA59" i="14"/>
  <c r="BB59" i="14" s="1"/>
  <c r="AU59" i="14"/>
  <c r="AT59" i="14" s="1"/>
  <c r="AH59" i="14"/>
  <c r="AG59" i="14"/>
  <c r="AC59" i="14"/>
  <c r="AB59" i="14"/>
  <c r="T59" i="14"/>
  <c r="U59" i="14" s="1"/>
  <c r="Q59" i="14"/>
  <c r="O59" i="14"/>
  <c r="P59" i="14" s="1"/>
  <c r="L59" i="14"/>
  <c r="K59" i="14"/>
  <c r="I59" i="14"/>
  <c r="H59" i="14" s="1"/>
  <c r="BP58" i="14"/>
  <c r="BM58" i="14"/>
  <c r="BL58" i="14" s="1"/>
  <c r="BG58" i="14"/>
  <c r="BH58" i="14" s="1"/>
  <c r="BA58" i="14"/>
  <c r="BB58" i="14" s="1"/>
  <c r="AU58" i="14"/>
  <c r="AV58" i="14" s="1"/>
  <c r="AH58" i="14"/>
  <c r="AG58" i="14"/>
  <c r="AC58" i="14"/>
  <c r="AB58" i="14"/>
  <c r="T58" i="14"/>
  <c r="U58" i="14" s="1"/>
  <c r="Q58" i="14"/>
  <c r="O58" i="14"/>
  <c r="P58" i="14" s="1"/>
  <c r="L58" i="14"/>
  <c r="K58" i="14"/>
  <c r="I58" i="14"/>
  <c r="J58" i="14" s="1"/>
  <c r="BP57" i="14"/>
  <c r="BM57" i="14"/>
  <c r="BN57" i="14" s="1"/>
  <c r="BG57" i="14"/>
  <c r="BH57" i="14" s="1"/>
  <c r="BA57" i="14"/>
  <c r="BB57" i="14" s="1"/>
  <c r="AU57" i="14"/>
  <c r="AV57" i="14" s="1"/>
  <c r="AH57" i="14"/>
  <c r="AG57" i="14"/>
  <c r="AC57" i="14"/>
  <c r="AB57" i="14"/>
  <c r="T57" i="14"/>
  <c r="U57" i="14" s="1"/>
  <c r="Q57" i="14"/>
  <c r="O57" i="14"/>
  <c r="N57" i="14" s="1"/>
  <c r="L57" i="14"/>
  <c r="K57" i="14"/>
  <c r="I57" i="14"/>
  <c r="J57" i="14" s="1"/>
  <c r="BP56" i="14"/>
  <c r="BM56" i="14"/>
  <c r="BL56" i="14" s="1"/>
  <c r="BG56" i="14"/>
  <c r="BF56" i="14" s="1"/>
  <c r="BA56" i="14"/>
  <c r="BB56" i="14" s="1"/>
  <c r="AU56" i="14"/>
  <c r="AT56" i="14" s="1"/>
  <c r="AH56" i="14"/>
  <c r="AG56" i="14"/>
  <c r="AC56" i="14"/>
  <c r="AB56" i="14"/>
  <c r="T56" i="14"/>
  <c r="U56" i="14" s="1"/>
  <c r="Q56" i="14"/>
  <c r="O56" i="14"/>
  <c r="N56" i="14" s="1"/>
  <c r="L56" i="14"/>
  <c r="K56" i="14"/>
  <c r="I56" i="14"/>
  <c r="H56" i="14" s="1"/>
  <c r="BP55" i="14"/>
  <c r="BN55" i="14"/>
  <c r="BM55" i="14"/>
  <c r="BL55" i="14" s="1"/>
  <c r="BG55" i="14"/>
  <c r="BF55" i="14" s="1"/>
  <c r="BA55" i="14"/>
  <c r="BB55" i="14" s="1"/>
  <c r="AU55" i="14"/>
  <c r="AV55" i="14" s="1"/>
  <c r="AH55" i="14"/>
  <c r="AG55" i="14"/>
  <c r="AC55" i="14"/>
  <c r="AB55" i="14"/>
  <c r="T55" i="14"/>
  <c r="U55" i="14" s="1"/>
  <c r="Q55" i="14"/>
  <c r="O55" i="14"/>
  <c r="P55" i="14" s="1"/>
  <c r="L55" i="14"/>
  <c r="K55" i="14"/>
  <c r="I55" i="14"/>
  <c r="J55" i="14" s="1"/>
  <c r="BP54" i="14"/>
  <c r="BM54" i="14"/>
  <c r="BN54" i="14" s="1"/>
  <c r="BG54" i="14"/>
  <c r="BH54" i="14" s="1"/>
  <c r="BA54" i="14"/>
  <c r="BB54" i="14" s="1"/>
  <c r="AU54" i="14"/>
  <c r="AV54" i="14" s="1"/>
  <c r="AT54" i="14"/>
  <c r="AH54" i="14"/>
  <c r="AG54" i="14"/>
  <c r="AC54" i="14"/>
  <c r="AB54" i="14"/>
  <c r="T54" i="14"/>
  <c r="U54" i="14" s="1"/>
  <c r="Q54" i="14"/>
  <c r="O54" i="14"/>
  <c r="N54" i="14" s="1"/>
  <c r="L54" i="14"/>
  <c r="K54" i="14"/>
  <c r="I54" i="14"/>
  <c r="J54" i="14" s="1"/>
  <c r="BP53" i="14"/>
  <c r="BM53" i="14"/>
  <c r="BN53" i="14" s="1"/>
  <c r="BG53" i="14"/>
  <c r="BF53" i="14" s="1"/>
  <c r="BA53" i="14"/>
  <c r="BB53" i="14" s="1"/>
  <c r="AU53" i="14"/>
  <c r="AT53" i="14" s="1"/>
  <c r="AH53" i="14"/>
  <c r="AG53" i="14"/>
  <c r="AC53" i="14"/>
  <c r="AB53" i="14"/>
  <c r="T53" i="14"/>
  <c r="U53" i="14" s="1"/>
  <c r="Q53" i="14"/>
  <c r="O53" i="14"/>
  <c r="P53" i="14" s="1"/>
  <c r="L53" i="14"/>
  <c r="K53" i="14"/>
  <c r="I53" i="14"/>
  <c r="J53" i="14" s="1"/>
  <c r="BP52" i="14"/>
  <c r="BM52" i="14"/>
  <c r="BN52" i="14" s="1"/>
  <c r="BH52" i="14"/>
  <c r="BG52" i="14"/>
  <c r="BF52" i="14" s="1"/>
  <c r="BA52" i="14"/>
  <c r="BB52" i="14" s="1"/>
  <c r="AU52" i="14"/>
  <c r="AV52" i="14" s="1"/>
  <c r="AH52" i="14"/>
  <c r="AG52" i="14"/>
  <c r="AC52" i="14"/>
  <c r="AB52" i="14"/>
  <c r="T52" i="14"/>
  <c r="U52" i="14" s="1"/>
  <c r="Q52" i="14"/>
  <c r="O52" i="14"/>
  <c r="P52" i="14" s="1"/>
  <c r="L52" i="14"/>
  <c r="K52" i="14"/>
  <c r="I52" i="14"/>
  <c r="H52" i="14" s="1"/>
  <c r="BP51" i="14"/>
  <c r="BM51" i="14"/>
  <c r="BN51" i="14" s="1"/>
  <c r="BG51" i="14"/>
  <c r="BH51" i="14" s="1"/>
  <c r="BA51" i="14"/>
  <c r="AZ51" i="14" s="1"/>
  <c r="AU51" i="14"/>
  <c r="AV51" i="14" s="1"/>
  <c r="AH51" i="14"/>
  <c r="AG51" i="14"/>
  <c r="AC51" i="14"/>
  <c r="AB51" i="14"/>
  <c r="T51" i="14"/>
  <c r="U51" i="14" s="1"/>
  <c r="Q51" i="14"/>
  <c r="O51" i="14"/>
  <c r="N51" i="14" s="1"/>
  <c r="L51" i="14"/>
  <c r="K51" i="14"/>
  <c r="I51" i="14"/>
  <c r="J51" i="14" s="1"/>
  <c r="BP50" i="14"/>
  <c r="BM50" i="14"/>
  <c r="BN50" i="14" s="1"/>
  <c r="BL50" i="14"/>
  <c r="BG50" i="14"/>
  <c r="BF50" i="14" s="1"/>
  <c r="BA50" i="14"/>
  <c r="BB50" i="14" s="1"/>
  <c r="AU50" i="14"/>
  <c r="AT50" i="14" s="1"/>
  <c r="AH50" i="14"/>
  <c r="AG50" i="14"/>
  <c r="AC50" i="14"/>
  <c r="AB50" i="14"/>
  <c r="T50" i="14"/>
  <c r="U50" i="14" s="1"/>
  <c r="Q50" i="14"/>
  <c r="P50" i="14"/>
  <c r="O50" i="14"/>
  <c r="N50" i="14"/>
  <c r="L50" i="14"/>
  <c r="K50" i="14"/>
  <c r="I50" i="14"/>
  <c r="J50" i="14" s="1"/>
  <c r="BP49" i="14"/>
  <c r="BM49" i="14"/>
  <c r="BN49" i="14" s="1"/>
  <c r="BL49" i="14"/>
  <c r="BG49" i="14"/>
  <c r="BF49" i="14" s="1"/>
  <c r="BA49" i="14"/>
  <c r="AZ49" i="14" s="1"/>
  <c r="AU49" i="14"/>
  <c r="AV49" i="14" s="1"/>
  <c r="AH49" i="14"/>
  <c r="AG49" i="14"/>
  <c r="AC49" i="14"/>
  <c r="AB49" i="14"/>
  <c r="T49" i="14"/>
  <c r="U49" i="14" s="1"/>
  <c r="Q49" i="14"/>
  <c r="O49" i="14"/>
  <c r="L49" i="14"/>
  <c r="K49" i="14"/>
  <c r="I49" i="14"/>
  <c r="J49" i="14" s="1"/>
  <c r="BP48" i="14"/>
  <c r="BM48" i="14"/>
  <c r="BN48" i="14" s="1"/>
  <c r="BG48" i="14"/>
  <c r="BH48" i="14" s="1"/>
  <c r="BA48" i="14"/>
  <c r="BB48" i="14" s="1"/>
  <c r="AU48" i="14"/>
  <c r="AV48" i="14" s="1"/>
  <c r="AH48" i="14"/>
  <c r="AG48" i="14"/>
  <c r="AC48" i="14"/>
  <c r="AB48" i="14"/>
  <c r="T48" i="14"/>
  <c r="U48" i="14" s="1"/>
  <c r="Q48" i="14"/>
  <c r="O48" i="14"/>
  <c r="L48" i="14"/>
  <c r="K48" i="14"/>
  <c r="I48" i="14"/>
  <c r="J48" i="14" s="1"/>
  <c r="BP47" i="14"/>
  <c r="BM47" i="14"/>
  <c r="BN47" i="14" s="1"/>
  <c r="BG47" i="14"/>
  <c r="BF47" i="14" s="1"/>
  <c r="BA47" i="14"/>
  <c r="BB47" i="14" s="1"/>
  <c r="AU47" i="14"/>
  <c r="AT47" i="14" s="1"/>
  <c r="AH47" i="14"/>
  <c r="AG47" i="14"/>
  <c r="AC47" i="14"/>
  <c r="AB47" i="14"/>
  <c r="T47" i="14"/>
  <c r="U47" i="14" s="1"/>
  <c r="Q47" i="14"/>
  <c r="P47" i="14"/>
  <c r="O47" i="14"/>
  <c r="N47" i="14" s="1"/>
  <c r="L47" i="14"/>
  <c r="K47" i="14"/>
  <c r="I47" i="14"/>
  <c r="J47" i="14" s="1"/>
  <c r="H47" i="14"/>
  <c r="BP46" i="14"/>
  <c r="BN46" i="14"/>
  <c r="BM46" i="14"/>
  <c r="BL46" i="14" s="1"/>
  <c r="BG46" i="14"/>
  <c r="BH46" i="14" s="1"/>
  <c r="BA46" i="14"/>
  <c r="AZ46" i="14" s="1"/>
  <c r="AU46" i="14"/>
  <c r="AV46" i="14" s="1"/>
  <c r="AH46" i="14"/>
  <c r="AG46" i="14"/>
  <c r="AC46" i="14"/>
  <c r="AB46" i="14"/>
  <c r="T46" i="14"/>
  <c r="U46" i="14" s="1"/>
  <c r="Q46" i="14"/>
  <c r="O46" i="14"/>
  <c r="P46" i="14" s="1"/>
  <c r="L46" i="14"/>
  <c r="K46" i="14"/>
  <c r="I46" i="14"/>
  <c r="J46" i="14" s="1"/>
  <c r="H46" i="14"/>
  <c r="BP45" i="14"/>
  <c r="BM45" i="14"/>
  <c r="BN45" i="14" s="1"/>
  <c r="BG45" i="14"/>
  <c r="BH45" i="14" s="1"/>
  <c r="BA45" i="14"/>
  <c r="BB45" i="14" s="1"/>
  <c r="AU45" i="14"/>
  <c r="AV45" i="14" s="1"/>
  <c r="AH45" i="14"/>
  <c r="AG45" i="14"/>
  <c r="AC45" i="14"/>
  <c r="AB45" i="14"/>
  <c r="T45" i="14"/>
  <c r="U45" i="14" s="1"/>
  <c r="Q45" i="14"/>
  <c r="P45" i="14"/>
  <c r="O45" i="14"/>
  <c r="N45" i="14" s="1"/>
  <c r="L45" i="14"/>
  <c r="K45" i="14"/>
  <c r="I45" i="14"/>
  <c r="J45" i="14" s="1"/>
  <c r="BP44" i="14"/>
  <c r="BM44" i="14"/>
  <c r="BN44" i="14" s="1"/>
  <c r="BG44" i="14"/>
  <c r="BF44" i="14" s="1"/>
  <c r="BA44" i="14"/>
  <c r="BB44" i="14" s="1"/>
  <c r="AU44" i="14"/>
  <c r="AT44" i="14" s="1"/>
  <c r="AH44" i="14"/>
  <c r="AG44" i="14"/>
  <c r="AC44" i="14"/>
  <c r="AB44" i="14"/>
  <c r="U44" i="14"/>
  <c r="T44" i="14"/>
  <c r="Q44" i="14"/>
  <c r="O44" i="14"/>
  <c r="N44" i="14" s="1"/>
  <c r="L44" i="14"/>
  <c r="K44" i="14"/>
  <c r="I44" i="14"/>
  <c r="BP43" i="14"/>
  <c r="BM43" i="14"/>
  <c r="BN43" i="14" s="1"/>
  <c r="BG43" i="14"/>
  <c r="BF43" i="14" s="1"/>
  <c r="BA43" i="14"/>
  <c r="BB43" i="14" s="1"/>
  <c r="AU43" i="14"/>
  <c r="AV43" i="14" s="1"/>
  <c r="AH43" i="14"/>
  <c r="AG43" i="14"/>
  <c r="AC43" i="14"/>
  <c r="AB43" i="14"/>
  <c r="T43" i="14"/>
  <c r="U43" i="14" s="1"/>
  <c r="Q43" i="14"/>
  <c r="O43" i="14"/>
  <c r="P43" i="14" s="1"/>
  <c r="L43" i="14"/>
  <c r="K43" i="14"/>
  <c r="I43" i="14"/>
  <c r="J43" i="14" s="1"/>
  <c r="BP42" i="14"/>
  <c r="BM42" i="14"/>
  <c r="BN42" i="14" s="1"/>
  <c r="BG42" i="14"/>
  <c r="BH42" i="14" s="1"/>
  <c r="BA42" i="14"/>
  <c r="BB42" i="14" s="1"/>
  <c r="AU42" i="14"/>
  <c r="AH42" i="14"/>
  <c r="AG42" i="14"/>
  <c r="AC42" i="14"/>
  <c r="AB42" i="14"/>
  <c r="T42" i="14"/>
  <c r="U42" i="14" s="1"/>
  <c r="Q42" i="14"/>
  <c r="O42" i="14"/>
  <c r="N42" i="14" s="1"/>
  <c r="L42" i="14"/>
  <c r="K42" i="14"/>
  <c r="I42" i="14"/>
  <c r="J42" i="14" s="1"/>
  <c r="BP41" i="14"/>
  <c r="BM41" i="14"/>
  <c r="BN41" i="14" s="1"/>
  <c r="BG41" i="14"/>
  <c r="BF41" i="14" s="1"/>
  <c r="BA41" i="14"/>
  <c r="AU41" i="14"/>
  <c r="AV41" i="14" s="1"/>
  <c r="AH41" i="14"/>
  <c r="AG41" i="14"/>
  <c r="AC41" i="14"/>
  <c r="AB41" i="14"/>
  <c r="T41" i="14"/>
  <c r="U41" i="14" s="1"/>
  <c r="Q41" i="14"/>
  <c r="O41" i="14"/>
  <c r="N41" i="14" s="1"/>
  <c r="L41" i="14"/>
  <c r="K41" i="14"/>
  <c r="I41" i="14"/>
  <c r="J41" i="14" s="1"/>
  <c r="BP40" i="14"/>
  <c r="BM40" i="14"/>
  <c r="BN40" i="14" s="1"/>
  <c r="BG40" i="14"/>
  <c r="BH40" i="14" s="1"/>
  <c r="BA40" i="14"/>
  <c r="BB40" i="14" s="1"/>
  <c r="AU40" i="14"/>
  <c r="AV40" i="14" s="1"/>
  <c r="AH40" i="14"/>
  <c r="AG40" i="14"/>
  <c r="AC40" i="14"/>
  <c r="AB40" i="14"/>
  <c r="T40" i="14"/>
  <c r="U40" i="14" s="1"/>
  <c r="Q40" i="14"/>
  <c r="O40" i="14"/>
  <c r="P40" i="14" s="1"/>
  <c r="L40" i="14"/>
  <c r="K40" i="14"/>
  <c r="I40" i="14"/>
  <c r="J40" i="14" s="1"/>
  <c r="BP39" i="14"/>
  <c r="BN39" i="14"/>
  <c r="BM39" i="14"/>
  <c r="BL39" i="14" s="1"/>
  <c r="BG39" i="14"/>
  <c r="BH39" i="14" s="1"/>
  <c r="BB39" i="14"/>
  <c r="BA39" i="14"/>
  <c r="AZ39" i="14"/>
  <c r="AU39" i="14"/>
  <c r="AV39" i="14" s="1"/>
  <c r="AL39" i="14"/>
  <c r="AK39" i="14" s="1"/>
  <c r="AH39" i="14"/>
  <c r="AG39" i="14"/>
  <c r="AC39" i="14"/>
  <c r="AB39" i="14"/>
  <c r="T39" i="14"/>
  <c r="U39" i="14" s="1"/>
  <c r="Q39" i="14"/>
  <c r="O39" i="14"/>
  <c r="P39" i="14" s="1"/>
  <c r="L39" i="14"/>
  <c r="K39" i="14"/>
  <c r="I39" i="14"/>
  <c r="J39" i="14" s="1"/>
  <c r="BP38" i="14"/>
  <c r="BM38" i="14"/>
  <c r="BN38" i="14" s="1"/>
  <c r="BG38" i="14"/>
  <c r="BH38" i="14" s="1"/>
  <c r="BA38" i="14"/>
  <c r="AZ38" i="14" s="1"/>
  <c r="AU38" i="14"/>
  <c r="AL38" i="14"/>
  <c r="AK38" i="14" s="1"/>
  <c r="AH38" i="14"/>
  <c r="AG38" i="14"/>
  <c r="AC38" i="14"/>
  <c r="AB38" i="14"/>
  <c r="T38" i="14"/>
  <c r="U38" i="14" s="1"/>
  <c r="Q38" i="14"/>
  <c r="O38" i="14"/>
  <c r="P38" i="14" s="1"/>
  <c r="L38" i="14"/>
  <c r="K38" i="14"/>
  <c r="I38" i="14"/>
  <c r="H38" i="14" s="1"/>
  <c r="BP37" i="14"/>
  <c r="BM37" i="14"/>
  <c r="BL37" i="14" s="1"/>
  <c r="BG37" i="14"/>
  <c r="BH37" i="14" s="1"/>
  <c r="BA37" i="14"/>
  <c r="BB37" i="14" s="1"/>
  <c r="AU37" i="14"/>
  <c r="AL37" i="14"/>
  <c r="AK37" i="14" s="1"/>
  <c r="AH37" i="14"/>
  <c r="AG37" i="14"/>
  <c r="AC37" i="14"/>
  <c r="AB37" i="14"/>
  <c r="T37" i="14"/>
  <c r="U37" i="14" s="1"/>
  <c r="Q37" i="14"/>
  <c r="O37" i="14"/>
  <c r="P37" i="14" s="1"/>
  <c r="L37" i="14"/>
  <c r="K37" i="14"/>
  <c r="I37" i="14"/>
  <c r="J37" i="14" s="1"/>
  <c r="BP36" i="14"/>
  <c r="BM36" i="14"/>
  <c r="BL36" i="14" s="1"/>
  <c r="BG36" i="14"/>
  <c r="BH36" i="14" s="1"/>
  <c r="BA36" i="14"/>
  <c r="AZ36" i="14" s="1"/>
  <c r="AU36" i="14"/>
  <c r="AV36" i="14" s="1"/>
  <c r="AL36" i="14"/>
  <c r="AK36" i="14" s="1"/>
  <c r="AH36" i="14"/>
  <c r="AG36" i="14"/>
  <c r="AC36" i="14"/>
  <c r="AB36" i="14"/>
  <c r="U36" i="14"/>
  <c r="T36" i="14"/>
  <c r="Q36" i="14"/>
  <c r="O36" i="14"/>
  <c r="L36" i="14"/>
  <c r="K36" i="14"/>
  <c r="I36" i="14"/>
  <c r="H36" i="14" s="1"/>
  <c r="BP35" i="14"/>
  <c r="BM35" i="14"/>
  <c r="BL35" i="14" s="1"/>
  <c r="BG35" i="14"/>
  <c r="BH35" i="14" s="1"/>
  <c r="BB35" i="14"/>
  <c r="BA35" i="14"/>
  <c r="AZ35" i="14" s="1"/>
  <c r="AU35" i="14"/>
  <c r="AV35" i="14" s="1"/>
  <c r="AL35" i="14"/>
  <c r="AK35" i="14" s="1"/>
  <c r="AH35" i="14"/>
  <c r="AG35" i="14"/>
  <c r="AC35" i="14"/>
  <c r="AB35" i="14"/>
  <c r="T35" i="14"/>
  <c r="U35" i="14" s="1"/>
  <c r="Q35" i="14"/>
  <c r="O35" i="14"/>
  <c r="L35" i="14"/>
  <c r="K35" i="14"/>
  <c r="I35" i="14"/>
  <c r="J35" i="14" s="1"/>
  <c r="BP34" i="14"/>
  <c r="BM34" i="14"/>
  <c r="BG34" i="14"/>
  <c r="BH34" i="14" s="1"/>
  <c r="BA34" i="14"/>
  <c r="AZ34" i="14" s="1"/>
  <c r="AU34" i="14"/>
  <c r="AL34" i="14"/>
  <c r="AK34" i="14" s="1"/>
  <c r="AH34" i="14"/>
  <c r="AG34" i="14"/>
  <c r="AC34" i="14"/>
  <c r="AB34" i="14"/>
  <c r="T34" i="14"/>
  <c r="U34" i="14" s="1"/>
  <c r="Q34" i="14"/>
  <c r="O34" i="14"/>
  <c r="P34" i="14" s="1"/>
  <c r="L34" i="14"/>
  <c r="K34" i="14"/>
  <c r="I34" i="14"/>
  <c r="J34" i="14" s="1"/>
  <c r="BP33" i="14"/>
  <c r="BM33" i="14"/>
  <c r="BL33" i="14" s="1"/>
  <c r="BG33" i="14"/>
  <c r="BH33" i="14" s="1"/>
  <c r="BA33" i="14"/>
  <c r="AZ33" i="14" s="1"/>
  <c r="AU33" i="14"/>
  <c r="AV33" i="14" s="1"/>
  <c r="AL33" i="14"/>
  <c r="AK33" i="14" s="1"/>
  <c r="AH33" i="14"/>
  <c r="AG33" i="14"/>
  <c r="AC33" i="14"/>
  <c r="AB33" i="14"/>
  <c r="T33" i="14"/>
  <c r="U33" i="14" s="1"/>
  <c r="Q33" i="14"/>
  <c r="O33" i="14"/>
  <c r="P33" i="14" s="1"/>
  <c r="L33" i="14"/>
  <c r="K33" i="14"/>
  <c r="I33" i="14"/>
  <c r="J33" i="14" s="1"/>
  <c r="BP32" i="14"/>
  <c r="BM32" i="14"/>
  <c r="BN32" i="14" s="1"/>
  <c r="BG32" i="14"/>
  <c r="BH32" i="14" s="1"/>
  <c r="BA32" i="14"/>
  <c r="AZ32" i="14" s="1"/>
  <c r="AU32" i="14"/>
  <c r="AV32" i="14" s="1"/>
  <c r="AL32" i="14"/>
  <c r="AK32" i="14" s="1"/>
  <c r="AH32" i="14"/>
  <c r="AG32" i="14"/>
  <c r="AC32" i="14"/>
  <c r="AB32" i="14"/>
  <c r="T32" i="14"/>
  <c r="U32" i="14" s="1"/>
  <c r="Q32" i="14"/>
  <c r="O32" i="14"/>
  <c r="P32" i="14" s="1"/>
  <c r="L32" i="14"/>
  <c r="K32" i="14"/>
  <c r="I32" i="14"/>
  <c r="J32" i="14" s="1"/>
  <c r="BP31" i="14"/>
  <c r="BM31" i="14"/>
  <c r="BL31" i="14" s="1"/>
  <c r="BG31" i="14"/>
  <c r="BH31" i="14" s="1"/>
  <c r="BA31" i="14"/>
  <c r="AZ31" i="14" s="1"/>
  <c r="AU31" i="14"/>
  <c r="AV31" i="14" s="1"/>
  <c r="AL31" i="14"/>
  <c r="AK31" i="14" s="1"/>
  <c r="AH31" i="14"/>
  <c r="AG31" i="14"/>
  <c r="AC31" i="14"/>
  <c r="AB31" i="14"/>
  <c r="T31" i="14"/>
  <c r="U31" i="14" s="1"/>
  <c r="Q31" i="14"/>
  <c r="O31" i="14"/>
  <c r="P31" i="14" s="1"/>
  <c r="L31" i="14"/>
  <c r="K31" i="14"/>
  <c r="I31" i="14"/>
  <c r="J31" i="14" s="1"/>
  <c r="BP30" i="14"/>
  <c r="BM30" i="14"/>
  <c r="BN30" i="14" s="1"/>
  <c r="BG30" i="14"/>
  <c r="BH30" i="14" s="1"/>
  <c r="BA30" i="14"/>
  <c r="AZ30" i="14" s="1"/>
  <c r="AU30" i="14"/>
  <c r="AV30" i="14" s="1"/>
  <c r="AL30" i="14"/>
  <c r="AK30" i="14" s="1"/>
  <c r="AH30" i="14"/>
  <c r="AG30" i="14"/>
  <c r="AC30" i="14"/>
  <c r="AB30" i="14"/>
  <c r="T30" i="14"/>
  <c r="U30" i="14" s="1"/>
  <c r="Q30" i="14"/>
  <c r="O30" i="14"/>
  <c r="P30" i="14" s="1"/>
  <c r="L30" i="14"/>
  <c r="K30" i="14"/>
  <c r="I30" i="14"/>
  <c r="H30" i="14" s="1"/>
  <c r="BP29" i="14"/>
  <c r="BM29" i="14"/>
  <c r="BL29" i="14" s="1"/>
  <c r="BG29" i="14"/>
  <c r="BH29" i="14" s="1"/>
  <c r="BA29" i="14"/>
  <c r="BB29" i="14" s="1"/>
  <c r="AU29" i="14"/>
  <c r="AV29" i="14" s="1"/>
  <c r="AL29" i="14"/>
  <c r="AK29" i="14" s="1"/>
  <c r="AH29" i="14"/>
  <c r="AG29" i="14"/>
  <c r="AC29" i="14"/>
  <c r="AB29" i="14"/>
  <c r="T29" i="14"/>
  <c r="U29" i="14" s="1"/>
  <c r="Q29" i="14"/>
  <c r="O29" i="14"/>
  <c r="P29" i="14" s="1"/>
  <c r="L29" i="14"/>
  <c r="K29" i="14"/>
  <c r="I29" i="14"/>
  <c r="J29" i="14" s="1"/>
  <c r="BP28" i="14"/>
  <c r="BM28" i="14"/>
  <c r="BN28" i="14" s="1"/>
  <c r="BG28" i="14"/>
  <c r="BH28" i="14" s="1"/>
  <c r="BA28" i="14"/>
  <c r="AZ28" i="14" s="1"/>
  <c r="AU28" i="14"/>
  <c r="AL28" i="14"/>
  <c r="AK28" i="14" s="1"/>
  <c r="AH28" i="14"/>
  <c r="AG28" i="14"/>
  <c r="AC28" i="14"/>
  <c r="AB28" i="14"/>
  <c r="U28" i="14"/>
  <c r="T28" i="14"/>
  <c r="Q28" i="14"/>
  <c r="O28" i="14"/>
  <c r="P28" i="14" s="1"/>
  <c r="L28" i="14"/>
  <c r="K28" i="14"/>
  <c r="I28" i="14"/>
  <c r="J28" i="14" s="1"/>
  <c r="BP27" i="14"/>
  <c r="BM27" i="14"/>
  <c r="BL27" i="14" s="1"/>
  <c r="BG27" i="14"/>
  <c r="BH27" i="14" s="1"/>
  <c r="BA27" i="14"/>
  <c r="AZ27" i="14" s="1"/>
  <c r="AU27" i="14"/>
  <c r="AV27" i="14" s="1"/>
  <c r="AT27" i="14"/>
  <c r="AL27" i="14"/>
  <c r="AK27" i="14" s="1"/>
  <c r="AH27" i="14"/>
  <c r="AG27" i="14"/>
  <c r="AC27" i="14"/>
  <c r="AB27" i="14"/>
  <c r="T27" i="14"/>
  <c r="U27" i="14" s="1"/>
  <c r="Q27" i="14"/>
  <c r="O27" i="14"/>
  <c r="P27" i="14" s="1"/>
  <c r="L27" i="14"/>
  <c r="K27" i="14"/>
  <c r="I27" i="14"/>
  <c r="J27" i="14" s="1"/>
  <c r="BP26" i="14"/>
  <c r="BM26" i="14"/>
  <c r="BL26" i="14" s="1"/>
  <c r="BG26" i="14"/>
  <c r="BH26" i="14" s="1"/>
  <c r="BA26" i="14"/>
  <c r="AZ26" i="14" s="1"/>
  <c r="AU26" i="14"/>
  <c r="AV26" i="14" s="1"/>
  <c r="AL26" i="14"/>
  <c r="AK26" i="14" s="1"/>
  <c r="AH26" i="14"/>
  <c r="AG26" i="14"/>
  <c r="AC26" i="14"/>
  <c r="AB26" i="14"/>
  <c r="T26" i="14"/>
  <c r="U26" i="14" s="1"/>
  <c r="Q26" i="14"/>
  <c r="O26" i="14"/>
  <c r="P26" i="14" s="1"/>
  <c r="N26" i="14"/>
  <c r="L26" i="14"/>
  <c r="K26" i="14"/>
  <c r="I26" i="14"/>
  <c r="H26" i="14" s="1"/>
  <c r="BP25" i="14"/>
  <c r="BM25" i="14"/>
  <c r="BL25" i="14" s="1"/>
  <c r="BG25" i="14"/>
  <c r="BH25" i="14" s="1"/>
  <c r="BA25" i="14"/>
  <c r="AZ25" i="14" s="1"/>
  <c r="AU25" i="14"/>
  <c r="AV25" i="14" s="1"/>
  <c r="AL25" i="14"/>
  <c r="AK25" i="14" s="1"/>
  <c r="AH25" i="14"/>
  <c r="AG25" i="14"/>
  <c r="AC25" i="14"/>
  <c r="AB25" i="14"/>
  <c r="T25" i="14"/>
  <c r="U25" i="14" s="1"/>
  <c r="Q25" i="14"/>
  <c r="O25" i="14"/>
  <c r="P25" i="14" s="1"/>
  <c r="L25" i="14"/>
  <c r="K25" i="14"/>
  <c r="I25" i="14"/>
  <c r="J25" i="14" s="1"/>
  <c r="BP24" i="14"/>
  <c r="BM24" i="14"/>
  <c r="BN24" i="14" s="1"/>
  <c r="BG24" i="14"/>
  <c r="BH24" i="14" s="1"/>
  <c r="BA24" i="14"/>
  <c r="AZ24" i="14" s="1"/>
  <c r="AU24" i="14"/>
  <c r="AV24" i="14" s="1"/>
  <c r="AL24" i="14"/>
  <c r="AK24" i="14" s="1"/>
  <c r="AH24" i="14"/>
  <c r="AG24" i="14"/>
  <c r="AC24" i="14"/>
  <c r="AB24" i="14"/>
  <c r="T24" i="14"/>
  <c r="U24" i="14" s="1"/>
  <c r="Q24" i="14"/>
  <c r="O24" i="14"/>
  <c r="P24" i="14" s="1"/>
  <c r="L24" i="14"/>
  <c r="K24" i="14"/>
  <c r="I24" i="14"/>
  <c r="H24" i="14" s="1"/>
  <c r="BP23" i="14"/>
  <c r="BM23" i="14"/>
  <c r="BL23" i="14" s="1"/>
  <c r="BG23" i="14"/>
  <c r="BH23" i="14" s="1"/>
  <c r="BA23" i="14"/>
  <c r="AZ23" i="14" s="1"/>
  <c r="AU23" i="14"/>
  <c r="AV23" i="14" s="1"/>
  <c r="AL23" i="14"/>
  <c r="AK23" i="14" s="1"/>
  <c r="AH23" i="14"/>
  <c r="AG23" i="14"/>
  <c r="AC23" i="14"/>
  <c r="AB23" i="14"/>
  <c r="T23" i="14"/>
  <c r="U23" i="14" s="1"/>
  <c r="Q23" i="14"/>
  <c r="O23" i="14"/>
  <c r="P23" i="14" s="1"/>
  <c r="L23" i="14"/>
  <c r="K23" i="14"/>
  <c r="I23" i="14"/>
  <c r="J23" i="14" s="1"/>
  <c r="BP22" i="14"/>
  <c r="BM22" i="14"/>
  <c r="BN22" i="14" s="1"/>
  <c r="BG22" i="14"/>
  <c r="BH22" i="14" s="1"/>
  <c r="BF22" i="14"/>
  <c r="BA22" i="14"/>
  <c r="AZ22" i="14" s="1"/>
  <c r="AU22" i="14"/>
  <c r="AV22" i="14" s="1"/>
  <c r="AL22" i="14"/>
  <c r="AK22" i="14" s="1"/>
  <c r="AH22" i="14"/>
  <c r="AG22" i="14"/>
  <c r="AC22" i="14"/>
  <c r="AB22" i="14"/>
  <c r="T22" i="14"/>
  <c r="U22" i="14" s="1"/>
  <c r="Q22" i="14"/>
  <c r="O22" i="14"/>
  <c r="N22" i="14" s="1"/>
  <c r="L22" i="14"/>
  <c r="K22" i="14"/>
  <c r="I22" i="14"/>
  <c r="J22" i="14" s="1"/>
  <c r="BP21" i="14"/>
  <c r="BM21" i="14"/>
  <c r="BN21" i="14" s="1"/>
  <c r="BG21" i="14"/>
  <c r="BH21" i="14" s="1"/>
  <c r="BA21" i="14"/>
  <c r="BB21" i="14" s="1"/>
  <c r="AU21" i="14"/>
  <c r="AV21" i="14" s="1"/>
  <c r="AL21" i="14"/>
  <c r="AK21" i="14" s="1"/>
  <c r="AH21" i="14"/>
  <c r="AG21" i="14"/>
  <c r="AC21" i="14"/>
  <c r="AB21" i="14"/>
  <c r="T21" i="14"/>
  <c r="U21" i="14" s="1"/>
  <c r="Q21" i="14"/>
  <c r="O21" i="14"/>
  <c r="P21" i="14" s="1"/>
  <c r="L21" i="14"/>
  <c r="K21" i="14"/>
  <c r="I21" i="14"/>
  <c r="J21" i="14" s="1"/>
  <c r="BP20" i="14"/>
  <c r="BM20" i="14"/>
  <c r="BL20" i="14" s="1"/>
  <c r="BG20" i="14"/>
  <c r="BH20" i="14" s="1"/>
  <c r="BF20" i="14"/>
  <c r="BA20" i="14"/>
  <c r="BB20" i="14" s="1"/>
  <c r="AU20" i="14"/>
  <c r="AV20" i="14" s="1"/>
  <c r="AL20" i="14"/>
  <c r="AK20" i="14" s="1"/>
  <c r="AH20" i="14"/>
  <c r="AG20" i="14"/>
  <c r="AC20" i="14"/>
  <c r="AB20" i="14"/>
  <c r="T20" i="14"/>
  <c r="U20" i="14" s="1"/>
  <c r="Q20" i="14"/>
  <c r="O20" i="14"/>
  <c r="P20" i="14" s="1"/>
  <c r="L20" i="14"/>
  <c r="K20" i="14"/>
  <c r="I20" i="14"/>
  <c r="J20" i="14" s="1"/>
  <c r="H20" i="14"/>
  <c r="BP19" i="14"/>
  <c r="BM19" i="14"/>
  <c r="BN19" i="14" s="1"/>
  <c r="BG19" i="14"/>
  <c r="BH19" i="14" s="1"/>
  <c r="BA19" i="14"/>
  <c r="BB19" i="14" s="1"/>
  <c r="AU19" i="14"/>
  <c r="AV19" i="14" s="1"/>
  <c r="AL19" i="14"/>
  <c r="AK19" i="14" s="1"/>
  <c r="AH19" i="14"/>
  <c r="AG19" i="14"/>
  <c r="AC19" i="14"/>
  <c r="AB19" i="14"/>
  <c r="T19" i="14"/>
  <c r="U19" i="14" s="1"/>
  <c r="Q19" i="14"/>
  <c r="O19" i="14"/>
  <c r="P19" i="14" s="1"/>
  <c r="L19" i="14"/>
  <c r="K19" i="14"/>
  <c r="I19" i="14"/>
  <c r="J19" i="14" s="1"/>
  <c r="BP18" i="14"/>
  <c r="BM18" i="14"/>
  <c r="BN18" i="14" s="1"/>
  <c r="BG18" i="14"/>
  <c r="BH18" i="14" s="1"/>
  <c r="BF18" i="14"/>
  <c r="BA18" i="14"/>
  <c r="BB18" i="14" s="1"/>
  <c r="AU18" i="14"/>
  <c r="AV18" i="14" s="1"/>
  <c r="AL18" i="14"/>
  <c r="AK18" i="14" s="1"/>
  <c r="AH18" i="14"/>
  <c r="AG18" i="14"/>
  <c r="AC18" i="14"/>
  <c r="AB18" i="14"/>
  <c r="T18" i="14"/>
  <c r="U18" i="14" s="1"/>
  <c r="Q18" i="14"/>
  <c r="O18" i="14"/>
  <c r="P18" i="14" s="1"/>
  <c r="L18" i="14"/>
  <c r="K18" i="14"/>
  <c r="I18" i="14"/>
  <c r="J18" i="14" s="1"/>
  <c r="H18" i="14"/>
  <c r="BP17" i="14"/>
  <c r="BN17" i="14"/>
  <c r="BM17" i="14"/>
  <c r="BL17" i="14" s="1"/>
  <c r="BG17" i="14"/>
  <c r="BH17" i="14" s="1"/>
  <c r="BA17" i="14"/>
  <c r="BB17" i="14" s="1"/>
  <c r="AU17" i="14"/>
  <c r="AV17" i="14" s="1"/>
  <c r="AL17" i="14"/>
  <c r="AK17" i="14" s="1"/>
  <c r="AH17" i="14"/>
  <c r="AG17" i="14"/>
  <c r="AC17" i="14"/>
  <c r="AB17" i="14"/>
  <c r="U17" i="14"/>
  <c r="T17" i="14"/>
  <c r="Q17" i="14"/>
  <c r="O17" i="14"/>
  <c r="P17" i="14" s="1"/>
  <c r="L17" i="14"/>
  <c r="K17" i="14"/>
  <c r="I17" i="14"/>
  <c r="J17" i="14" s="1"/>
  <c r="BP16" i="14"/>
  <c r="BM16" i="14"/>
  <c r="BL16" i="14" s="1"/>
  <c r="BG16" i="14"/>
  <c r="BH16" i="14" s="1"/>
  <c r="BA16" i="14"/>
  <c r="BB16" i="14" s="1"/>
  <c r="AU16" i="14"/>
  <c r="AV16" i="14" s="1"/>
  <c r="AL16" i="14"/>
  <c r="AK16" i="14" s="1"/>
  <c r="AH16" i="14"/>
  <c r="AG16" i="14"/>
  <c r="AC16" i="14"/>
  <c r="AB16" i="14"/>
  <c r="T16" i="14"/>
  <c r="U16" i="14" s="1"/>
  <c r="Q16" i="14"/>
  <c r="O16" i="14"/>
  <c r="P16" i="14" s="1"/>
  <c r="L16" i="14"/>
  <c r="K16" i="14"/>
  <c r="I16" i="14"/>
  <c r="J16" i="14" s="1"/>
  <c r="BP15" i="14"/>
  <c r="BM15" i="14"/>
  <c r="BN15" i="14" s="1"/>
  <c r="BG15" i="14"/>
  <c r="BH15" i="14" s="1"/>
  <c r="BA15" i="14"/>
  <c r="BB15" i="14" s="1"/>
  <c r="AU15" i="14"/>
  <c r="AV15" i="14" s="1"/>
  <c r="AH15" i="14"/>
  <c r="AG15" i="14"/>
  <c r="AC15" i="14"/>
  <c r="AB15" i="14"/>
  <c r="T15" i="14"/>
  <c r="U15" i="14" s="1"/>
  <c r="Q15" i="14"/>
  <c r="O15" i="14"/>
  <c r="N15" i="14" s="1"/>
  <c r="L15" i="14"/>
  <c r="K15" i="14"/>
  <c r="I15" i="14"/>
  <c r="J15" i="14" s="1"/>
  <c r="BP14" i="14"/>
  <c r="BM14" i="14"/>
  <c r="BN14" i="14" s="1"/>
  <c r="BG14" i="14"/>
  <c r="BF14" i="14" s="1"/>
  <c r="BA14" i="14"/>
  <c r="BB14" i="14" s="1"/>
  <c r="AU14" i="14"/>
  <c r="AT14" i="14" s="1"/>
  <c r="AH14" i="14"/>
  <c r="AG14" i="14"/>
  <c r="AC14" i="14"/>
  <c r="AB14" i="14"/>
  <c r="T14" i="14"/>
  <c r="U14" i="14" s="1"/>
  <c r="Q14" i="14"/>
  <c r="O14" i="14"/>
  <c r="P14" i="14" s="1"/>
  <c r="L14" i="14"/>
  <c r="K14" i="14"/>
  <c r="I14" i="14"/>
  <c r="J14" i="14" s="1"/>
  <c r="BP13" i="14"/>
  <c r="BN13" i="14"/>
  <c r="BM13" i="14"/>
  <c r="BL13" i="14" s="1"/>
  <c r="BG13" i="14"/>
  <c r="BH13" i="14" s="1"/>
  <c r="BA13" i="14"/>
  <c r="BB13" i="14" s="1"/>
  <c r="AZ13" i="14"/>
  <c r="AU13" i="14"/>
  <c r="AV13" i="14" s="1"/>
  <c r="AH13" i="14"/>
  <c r="AG13" i="14"/>
  <c r="AC13" i="14"/>
  <c r="AB13" i="14"/>
  <c r="T13" i="14"/>
  <c r="U13" i="14" s="1"/>
  <c r="Q13" i="14"/>
  <c r="O13" i="14"/>
  <c r="P13" i="14" s="1"/>
  <c r="L13" i="14"/>
  <c r="K13" i="14"/>
  <c r="I13" i="14"/>
  <c r="H13" i="14" s="1"/>
  <c r="BP12" i="14"/>
  <c r="BM12" i="14"/>
  <c r="BN12" i="14" s="1"/>
  <c r="BG12" i="14"/>
  <c r="BH12" i="14" s="1"/>
  <c r="BA12" i="14"/>
  <c r="BB12" i="14" s="1"/>
  <c r="AU12" i="14"/>
  <c r="AV12" i="14" s="1"/>
  <c r="AH12" i="14"/>
  <c r="AG12" i="14"/>
  <c r="AC12" i="14"/>
  <c r="AB12" i="14"/>
  <c r="T12" i="14"/>
  <c r="U12" i="14" s="1"/>
  <c r="Q12" i="14"/>
  <c r="O12" i="14"/>
  <c r="N12" i="14" s="1"/>
  <c r="L12" i="14"/>
  <c r="K12" i="14"/>
  <c r="J12" i="14"/>
  <c r="I12" i="14"/>
  <c r="H12" i="14"/>
  <c r="BP11" i="14"/>
  <c r="BM11" i="14"/>
  <c r="BN11" i="14" s="1"/>
  <c r="BG11" i="14"/>
  <c r="BF11" i="14" s="1"/>
  <c r="BA11" i="14"/>
  <c r="BB11" i="14" s="1"/>
  <c r="AU11" i="14"/>
  <c r="AT11" i="14" s="1"/>
  <c r="AH11" i="14"/>
  <c r="AG11" i="14"/>
  <c r="AC11" i="14"/>
  <c r="AB11" i="14"/>
  <c r="T11" i="14"/>
  <c r="U11" i="14" s="1"/>
  <c r="Q11" i="14"/>
  <c r="O11" i="14"/>
  <c r="P11" i="14" s="1"/>
  <c r="L11" i="14"/>
  <c r="K11" i="14"/>
  <c r="I11" i="14"/>
  <c r="J11" i="14" s="1"/>
  <c r="BP10" i="14"/>
  <c r="BM10" i="14"/>
  <c r="BN10" i="14" s="1"/>
  <c r="BG10" i="14"/>
  <c r="BH10" i="14" s="1"/>
  <c r="BA10" i="14"/>
  <c r="AZ10" i="14" s="1"/>
  <c r="AV10" i="14"/>
  <c r="AU10" i="14"/>
  <c r="AT10" i="14" s="1"/>
  <c r="AH10" i="14"/>
  <c r="AG10" i="14"/>
  <c r="AC10" i="14"/>
  <c r="AB10" i="14"/>
  <c r="T10" i="14"/>
  <c r="U10" i="14" s="1"/>
  <c r="Q10" i="14"/>
  <c r="O10" i="14"/>
  <c r="P10" i="14" s="1"/>
  <c r="L10" i="14"/>
  <c r="K10" i="14"/>
  <c r="I10" i="14"/>
  <c r="J10" i="14" s="1"/>
  <c r="BP9" i="14"/>
  <c r="BM9" i="14"/>
  <c r="BL9" i="14" s="1"/>
  <c r="BG9" i="14"/>
  <c r="BH9" i="14" s="1"/>
  <c r="BA9" i="14"/>
  <c r="BB9" i="14" s="1"/>
  <c r="AU9" i="14"/>
  <c r="AV9" i="14" s="1"/>
  <c r="AH9" i="14"/>
  <c r="AG9" i="14"/>
  <c r="AC9" i="14"/>
  <c r="AB9" i="14"/>
  <c r="T9" i="14"/>
  <c r="U9" i="14" s="1"/>
  <c r="Q9" i="14"/>
  <c r="O9" i="14"/>
  <c r="N9" i="14" s="1"/>
  <c r="L9" i="14"/>
  <c r="K9" i="14"/>
  <c r="I9" i="14"/>
  <c r="H9" i="14" s="1"/>
  <c r="BP8" i="14"/>
  <c r="BM8" i="14"/>
  <c r="BN8" i="14" s="1"/>
  <c r="BG8" i="14"/>
  <c r="BF8" i="14" s="1"/>
  <c r="BA8" i="14"/>
  <c r="BB8" i="14" s="1"/>
  <c r="AU8" i="14"/>
  <c r="AT8" i="14" s="1"/>
  <c r="AH8" i="14"/>
  <c r="AG8" i="14"/>
  <c r="AC8" i="14"/>
  <c r="AB8" i="14"/>
  <c r="T8" i="14"/>
  <c r="U8" i="14" s="1"/>
  <c r="Q8" i="14"/>
  <c r="O8" i="14"/>
  <c r="P8" i="14" s="1"/>
  <c r="L8" i="14"/>
  <c r="K8" i="14"/>
  <c r="I8" i="14"/>
  <c r="J8" i="14" s="1"/>
  <c r="BP7" i="14"/>
  <c r="BM7" i="14"/>
  <c r="BN7" i="14" s="1"/>
  <c r="BG7" i="14"/>
  <c r="BF7" i="14" s="1"/>
  <c r="BA7" i="14"/>
  <c r="BB7" i="14" s="1"/>
  <c r="AU7" i="14"/>
  <c r="AV7" i="14" s="1"/>
  <c r="AH7" i="14"/>
  <c r="AG7" i="14"/>
  <c r="AC7" i="14"/>
  <c r="AB7" i="14"/>
  <c r="U7" i="14"/>
  <c r="T7" i="14"/>
  <c r="Q7" i="14"/>
  <c r="O7" i="14"/>
  <c r="P7" i="14" s="1"/>
  <c r="L7" i="14"/>
  <c r="K7" i="14"/>
  <c r="I7" i="14"/>
  <c r="J7" i="14" s="1"/>
  <c r="BP6" i="14"/>
  <c r="BM6" i="14"/>
  <c r="BN6" i="14" s="1"/>
  <c r="BG6" i="14"/>
  <c r="BH6" i="14" s="1"/>
  <c r="BA6" i="14"/>
  <c r="BB6" i="14" s="1"/>
  <c r="AU6" i="14"/>
  <c r="AV6" i="14" s="1"/>
  <c r="AH6" i="14"/>
  <c r="AG6" i="14"/>
  <c r="AC6" i="14"/>
  <c r="AB6" i="14"/>
  <c r="T6" i="14"/>
  <c r="U6" i="14" s="1"/>
  <c r="Q6" i="14"/>
  <c r="O6" i="14"/>
  <c r="N6" i="14" s="1"/>
  <c r="L6" i="14"/>
  <c r="K6" i="14"/>
  <c r="I6" i="14"/>
  <c r="J6" i="14" s="1"/>
  <c r="BP5" i="14"/>
  <c r="BM5" i="14"/>
  <c r="BN5" i="14" s="1"/>
  <c r="BG5" i="14"/>
  <c r="BH5" i="14" s="1"/>
  <c r="BA5" i="14"/>
  <c r="BB5" i="14" s="1"/>
  <c r="AU5" i="14"/>
  <c r="AT5" i="14" s="1"/>
  <c r="AH5" i="14"/>
  <c r="AG5" i="14"/>
  <c r="AC5" i="14"/>
  <c r="AB5" i="14"/>
  <c r="T5" i="14"/>
  <c r="U5" i="14" s="1"/>
  <c r="Q5" i="14"/>
  <c r="O5" i="14"/>
  <c r="P5" i="14" s="1"/>
  <c r="L5" i="14"/>
  <c r="K5" i="14"/>
  <c r="I5" i="14"/>
  <c r="J5" i="14" s="1"/>
  <c r="BP4" i="14"/>
  <c r="BM4" i="14"/>
  <c r="BN4" i="14" s="1"/>
  <c r="BL4" i="14"/>
  <c r="BG4" i="14"/>
  <c r="BH4" i="14" s="1"/>
  <c r="BA4" i="14"/>
  <c r="AZ4" i="14" s="1"/>
  <c r="AU4" i="14"/>
  <c r="AT4" i="14" s="1"/>
  <c r="AH4" i="14"/>
  <c r="AG4" i="14"/>
  <c r="AC4" i="14"/>
  <c r="AB4" i="14"/>
  <c r="T4" i="14"/>
  <c r="U4" i="14" s="1"/>
  <c r="Q4" i="14"/>
  <c r="O4" i="14"/>
  <c r="P4" i="14" s="1"/>
  <c r="L4" i="14"/>
  <c r="K4" i="14"/>
  <c r="I4" i="14"/>
  <c r="J4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O1" i="14" s="1"/>
  <c r="P1" i="14" s="1"/>
  <c r="Q1" i="14" s="1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AC1" i="14" s="1"/>
  <c r="J30" i="13"/>
  <c r="I30" i="13"/>
  <c r="G30" i="13"/>
  <c r="D30" i="13"/>
  <c r="G18" i="13"/>
  <c r="G22" i="13"/>
  <c r="G21" i="13"/>
  <c r="G19" i="13"/>
  <c r="G17" i="13"/>
  <c r="D58" i="16" l="1"/>
  <c r="F137" i="13" s="1"/>
  <c r="G52" i="13"/>
  <c r="F122" i="13"/>
  <c r="D58" i="25"/>
  <c r="E50" i="13"/>
  <c r="D58" i="28"/>
  <c r="E137" i="13" s="1"/>
  <c r="F52" i="13"/>
  <c r="E52" i="13"/>
  <c r="F42" i="13"/>
  <c r="H42" i="13"/>
  <c r="E122" i="13"/>
  <c r="F38" i="13"/>
  <c r="H38" i="13"/>
  <c r="J38" i="14"/>
  <c r="BL7" i="14"/>
  <c r="BF15" i="14"/>
  <c r="AZ17" i="14"/>
  <c r="BF30" i="14"/>
  <c r="BF48" i="14"/>
  <c r="BL52" i="14"/>
  <c r="N62" i="14"/>
  <c r="AT70" i="14"/>
  <c r="AZ85" i="14"/>
  <c r="H129" i="14"/>
  <c r="AZ147" i="14"/>
  <c r="AT158" i="14"/>
  <c r="BH77" i="14"/>
  <c r="P15" i="14"/>
  <c r="AT31" i="14"/>
  <c r="BF38" i="14"/>
  <c r="AT51" i="14"/>
  <c r="BN58" i="14"/>
  <c r="P65" i="14"/>
  <c r="BN65" i="14"/>
  <c r="BL75" i="14"/>
  <c r="BF79" i="14"/>
  <c r="BH85" i="14"/>
  <c r="AV106" i="14"/>
  <c r="BH121" i="14"/>
  <c r="AV130" i="14"/>
  <c r="AV138" i="14"/>
  <c r="BF6" i="14"/>
  <c r="AZ11" i="14"/>
  <c r="H16" i="14"/>
  <c r="H29" i="14"/>
  <c r="H49" i="14"/>
  <c r="BL67" i="14"/>
  <c r="BN77" i="14"/>
  <c r="H102" i="14"/>
  <c r="H124" i="14"/>
  <c r="AV133" i="14"/>
  <c r="J67" i="14"/>
  <c r="J74" i="14"/>
  <c r="T179" i="14"/>
  <c r="U179" i="14" s="1"/>
  <c r="BG182" i="14"/>
  <c r="BH182" i="14" s="1"/>
  <c r="AZ14" i="14"/>
  <c r="BF16" i="14"/>
  <c r="BB25" i="14"/>
  <c r="BH41" i="14"/>
  <c r="BN56" i="14"/>
  <c r="H78" i="14"/>
  <c r="BF84" i="14"/>
  <c r="AT86" i="14"/>
  <c r="BL119" i="14"/>
  <c r="J127" i="14"/>
  <c r="BH136" i="14"/>
  <c r="P56" i="14"/>
  <c r="BH83" i="14"/>
  <c r="H7" i="14"/>
  <c r="J9" i="14"/>
  <c r="BF9" i="14"/>
  <c r="N27" i="14"/>
  <c r="BN29" i="14"/>
  <c r="AT35" i="14"/>
  <c r="AZ42" i="14"/>
  <c r="P44" i="14"/>
  <c r="AZ52" i="14"/>
  <c r="N59" i="14"/>
  <c r="BN59" i="14"/>
  <c r="AT60" i="14"/>
  <c r="AT68" i="14"/>
  <c r="BB69" i="14"/>
  <c r="BB76" i="14"/>
  <c r="BB100" i="14"/>
  <c r="H105" i="14"/>
  <c r="AT105" i="14"/>
  <c r="H107" i="14"/>
  <c r="AT107" i="14"/>
  <c r="J111" i="14"/>
  <c r="BF151" i="14"/>
  <c r="BF159" i="14"/>
  <c r="H17" i="14"/>
  <c r="H50" i="14"/>
  <c r="P66" i="14"/>
  <c r="P69" i="14"/>
  <c r="BN73" i="14"/>
  <c r="BH78" i="14"/>
  <c r="P82" i="14"/>
  <c r="AT110" i="14"/>
  <c r="BF114" i="14"/>
  <c r="J120" i="14"/>
  <c r="AV132" i="14"/>
  <c r="BH134" i="14"/>
  <c r="AV143" i="14"/>
  <c r="AT152" i="14"/>
  <c r="AU181" i="14"/>
  <c r="AV181" i="14" s="1"/>
  <c r="AZ21" i="14"/>
  <c r="AT26" i="14"/>
  <c r="N37" i="14"/>
  <c r="H58" i="14"/>
  <c r="AZ58" i="14"/>
  <c r="AZ132" i="14"/>
  <c r="BF140" i="14"/>
  <c r="H10" i="14"/>
  <c r="BN16" i="14"/>
  <c r="N23" i="14"/>
  <c r="BB23" i="14"/>
  <c r="BF28" i="14"/>
  <c r="BB31" i="14"/>
  <c r="N38" i="14"/>
  <c r="AT40" i="14"/>
  <c r="BL43" i="14"/>
  <c r="BB49" i="14"/>
  <c r="AV53" i="14"/>
  <c r="BH55" i="14"/>
  <c r="AV59" i="14"/>
  <c r="BH72" i="14"/>
  <c r="AT74" i="14"/>
  <c r="H79" i="14"/>
  <c r="P80" i="14"/>
  <c r="BN83" i="14"/>
  <c r="BN86" i="14"/>
  <c r="J88" i="14"/>
  <c r="AT100" i="14"/>
  <c r="BN101" i="14"/>
  <c r="AV103" i="14"/>
  <c r="BN107" i="14"/>
  <c r="BN109" i="14"/>
  <c r="BF115" i="14"/>
  <c r="BL136" i="14"/>
  <c r="H140" i="14"/>
  <c r="AZ140" i="14"/>
  <c r="BF157" i="14"/>
  <c r="N159" i="14"/>
  <c r="BF12" i="14"/>
  <c r="BL15" i="14"/>
  <c r="AT22" i="14"/>
  <c r="BF23" i="14"/>
  <c r="N25" i="14"/>
  <c r="N33" i="14"/>
  <c r="BL38" i="14"/>
  <c r="H40" i="14"/>
  <c r="AT48" i="14"/>
  <c r="N71" i="14"/>
  <c r="BF82" i="14"/>
  <c r="BL91" i="14"/>
  <c r="N97" i="14"/>
  <c r="BB4" i="14"/>
  <c r="BB97" i="14"/>
  <c r="BH106" i="14"/>
  <c r="BF113" i="14"/>
  <c r="AT116" i="14"/>
  <c r="H118" i="14"/>
  <c r="AV122" i="14"/>
  <c r="P125" i="14"/>
  <c r="BL128" i="14"/>
  <c r="BH130" i="14"/>
  <c r="P134" i="14"/>
  <c r="BH138" i="14"/>
  <c r="BB145" i="14"/>
  <c r="P6" i="14"/>
  <c r="BL12" i="14"/>
  <c r="N20" i="14"/>
  <c r="BB30" i="14"/>
  <c r="H34" i="14"/>
  <c r="BF35" i="14"/>
  <c r="AT39" i="14"/>
  <c r="BF40" i="14"/>
  <c r="P41" i="14"/>
  <c r="BL41" i="14"/>
  <c r="AZ48" i="14"/>
  <c r="BL53" i="14"/>
  <c r="J65" i="14"/>
  <c r="AT65" i="14"/>
  <c r="BH66" i="14"/>
  <c r="H68" i="14"/>
  <c r="J70" i="14"/>
  <c r="P75" i="14"/>
  <c r="BB75" i="14"/>
  <c r="BH76" i="14"/>
  <c r="BB79" i="14"/>
  <c r="BL85" i="14"/>
  <c r="AV90" i="14"/>
  <c r="N93" i="14"/>
  <c r="AV93" i="14"/>
  <c r="BN94" i="14"/>
  <c r="AV96" i="14"/>
  <c r="AV99" i="14"/>
  <c r="BH103" i="14"/>
  <c r="N113" i="14"/>
  <c r="AT118" i="14"/>
  <c r="AZ122" i="14"/>
  <c r="BL130" i="14"/>
  <c r="AV137" i="14"/>
  <c r="BL138" i="14"/>
  <c r="N151" i="14"/>
  <c r="BL151" i="14"/>
  <c r="O183" i="14"/>
  <c r="P183" i="14" s="1"/>
  <c r="BH14" i="14"/>
  <c r="P22" i="14"/>
  <c r="J56" i="14"/>
  <c r="BB70" i="14"/>
  <c r="P96" i="14"/>
  <c r="BB99" i="14"/>
  <c r="BB102" i="14"/>
  <c r="BN103" i="14"/>
  <c r="BH108" i="14"/>
  <c r="AV131" i="14"/>
  <c r="BN140" i="14"/>
  <c r="AT13" i="14"/>
  <c r="AZ16" i="14"/>
  <c r="AZ19" i="14"/>
  <c r="BL22" i="14"/>
  <c r="J24" i="14"/>
  <c r="J26" i="14"/>
  <c r="AT29" i="14"/>
  <c r="BL30" i="14"/>
  <c r="BL32" i="14"/>
  <c r="BN37" i="14"/>
  <c r="BL40" i="14"/>
  <c r="N46" i="14"/>
  <c r="AV62" i="14"/>
  <c r="AV64" i="14"/>
  <c r="BF65" i="14"/>
  <c r="AT69" i="14"/>
  <c r="BH73" i="14"/>
  <c r="H77" i="14"/>
  <c r="P84" i="14"/>
  <c r="AT95" i="14"/>
  <c r="BL96" i="14"/>
  <c r="BH100" i="14"/>
  <c r="BF102" i="14"/>
  <c r="BH105" i="14"/>
  <c r="AT109" i="14"/>
  <c r="N118" i="14"/>
  <c r="AZ121" i="14"/>
  <c r="BF122" i="14"/>
  <c r="AZ129" i="14"/>
  <c r="AZ131" i="14"/>
  <c r="H139" i="14"/>
  <c r="AV139" i="14"/>
  <c r="BB143" i="14"/>
  <c r="H146" i="14"/>
  <c r="AZ146" i="14"/>
  <c r="AZ7" i="14"/>
  <c r="BH11" i="14"/>
  <c r="H15" i="14"/>
  <c r="AT15" i="14"/>
  <c r="H28" i="14"/>
  <c r="N29" i="14"/>
  <c r="N34" i="14"/>
  <c r="J36" i="14"/>
  <c r="AT36" i="14"/>
  <c r="BF39" i="14"/>
  <c r="AZ68" i="14"/>
  <c r="AZ72" i="14"/>
  <c r="AZ77" i="14"/>
  <c r="N92" i="14"/>
  <c r="N95" i="14"/>
  <c r="AZ95" i="14"/>
  <c r="BN99" i="14"/>
  <c r="AV104" i="14"/>
  <c r="N124" i="14"/>
  <c r="AZ127" i="14"/>
  <c r="H136" i="14"/>
  <c r="AZ136" i="14"/>
  <c r="BL137" i="14"/>
  <c r="BB139" i="14"/>
  <c r="BF146" i="14"/>
  <c r="AZ89" i="14"/>
  <c r="H106" i="14"/>
  <c r="BF109" i="14"/>
  <c r="AT115" i="14"/>
  <c r="H119" i="14"/>
  <c r="BL122" i="14"/>
  <c r="N129" i="14"/>
  <c r="BL129" i="14"/>
  <c r="H134" i="14"/>
  <c r="BL150" i="14"/>
  <c r="BL154" i="14"/>
  <c r="AT6" i="14"/>
  <c r="N7" i="14"/>
  <c r="BN9" i="14"/>
  <c r="N13" i="14"/>
  <c r="BL21" i="14"/>
  <c r="AT25" i="14"/>
  <c r="H41" i="14"/>
  <c r="AT41" i="14"/>
  <c r="H43" i="14"/>
  <c r="BF45" i="14"/>
  <c r="AV47" i="14"/>
  <c r="AT57" i="14"/>
  <c r="BF64" i="14"/>
  <c r="AT71" i="14"/>
  <c r="N89" i="14"/>
  <c r="AZ91" i="14"/>
  <c r="H100" i="14"/>
  <c r="BF117" i="14"/>
  <c r="AZ134" i="14"/>
  <c r="BL148" i="14"/>
  <c r="BN35" i="14"/>
  <c r="BN143" i="14"/>
  <c r="BL143" i="14"/>
  <c r="N4" i="14"/>
  <c r="AZ8" i="14"/>
  <c r="P9" i="14"/>
  <c r="AT12" i="14"/>
  <c r="BL18" i="14"/>
  <c r="AT20" i="14"/>
  <c r="BB32" i="14"/>
  <c r="BF33" i="14"/>
  <c r="BF34" i="14"/>
  <c r="BF42" i="14"/>
  <c r="J59" i="14"/>
  <c r="P70" i="14"/>
  <c r="N70" i="14"/>
  <c r="BF141" i="14"/>
  <c r="BH141" i="14"/>
  <c r="J13" i="14"/>
  <c r="BN26" i="14"/>
  <c r="H6" i="14"/>
  <c r="AT7" i="14"/>
  <c r="BL10" i="14"/>
  <c r="BF21" i="14"/>
  <c r="BF24" i="14"/>
  <c r="N31" i="14"/>
  <c r="BF32" i="14"/>
  <c r="BF37" i="14"/>
  <c r="N48" i="14"/>
  <c r="P48" i="14"/>
  <c r="BL62" i="14"/>
  <c r="N79" i="14"/>
  <c r="P79" i="14"/>
  <c r="AT101" i="14"/>
  <c r="BN127" i="14"/>
  <c r="BL127" i="14"/>
  <c r="AT128" i="14"/>
  <c r="AV128" i="14"/>
  <c r="BB34" i="14"/>
  <c r="BL34" i="14"/>
  <c r="BN34" i="14"/>
  <c r="J44" i="14"/>
  <c r="H44" i="14"/>
  <c r="AV63" i="14"/>
  <c r="AT63" i="14"/>
  <c r="AV67" i="14"/>
  <c r="AT67" i="14"/>
  <c r="AT78" i="14"/>
  <c r="H81" i="14"/>
  <c r="BL113" i="14"/>
  <c r="BL115" i="14"/>
  <c r="BN33" i="14"/>
  <c r="AV50" i="14"/>
  <c r="J52" i="14"/>
  <c r="BL89" i="14"/>
  <c r="BN89" i="14"/>
  <c r="BH91" i="14"/>
  <c r="BF91" i="14"/>
  <c r="BB159" i="14"/>
  <c r="AZ159" i="14"/>
  <c r="BB33" i="14"/>
  <c r="BB28" i="14"/>
  <c r="AV44" i="14"/>
  <c r="BH68" i="14"/>
  <c r="BF68" i="14"/>
  <c r="N72" i="14"/>
  <c r="P72" i="14"/>
  <c r="J145" i="14"/>
  <c r="H145" i="14"/>
  <c r="AV145" i="14"/>
  <c r="BB153" i="14"/>
  <c r="AZ153" i="14"/>
  <c r="BH8" i="14"/>
  <c r="P12" i="14"/>
  <c r="BN31" i="14"/>
  <c r="P36" i="14"/>
  <c r="N36" i="14"/>
  <c r="BN64" i="14"/>
  <c r="BL64" i="14"/>
  <c r="BH94" i="14"/>
  <c r="N60" i="14"/>
  <c r="P60" i="14"/>
  <c r="BB10" i="14"/>
  <c r="J30" i="14"/>
  <c r="BB108" i="14"/>
  <c r="AT16" i="14"/>
  <c r="BF19" i="14"/>
  <c r="BN23" i="14"/>
  <c r="BB27" i="14"/>
  <c r="BB36" i="14"/>
  <c r="AZ43" i="14"/>
  <c r="BB46" i="14"/>
  <c r="BH56" i="14"/>
  <c r="BF58" i="14"/>
  <c r="BL61" i="14"/>
  <c r="AV66" i="14"/>
  <c r="AZ71" i="14"/>
  <c r="BL88" i="14"/>
  <c r="BF112" i="14"/>
  <c r="BN142" i="14"/>
  <c r="BL157" i="14"/>
  <c r="H4" i="14"/>
  <c r="BL6" i="14"/>
  <c r="AT9" i="14"/>
  <c r="N16" i="14"/>
  <c r="AZ18" i="14"/>
  <c r="H21" i="14"/>
  <c r="H22" i="14"/>
  <c r="BF26" i="14"/>
  <c r="BF27" i="14"/>
  <c r="BL28" i="14"/>
  <c r="H32" i="14"/>
  <c r="AT33" i="14"/>
  <c r="P35" i="14"/>
  <c r="N35" i="14"/>
  <c r="BF36" i="14"/>
  <c r="BL44" i="14"/>
  <c r="BF46" i="14"/>
  <c r="BL47" i="14"/>
  <c r="AT76" i="14"/>
  <c r="AV76" i="14"/>
  <c r="AZ83" i="14"/>
  <c r="AZ106" i="14"/>
  <c r="BB106" i="14"/>
  <c r="J121" i="14"/>
  <c r="H121" i="14"/>
  <c r="BB38" i="14"/>
  <c r="AV79" i="14"/>
  <c r="AZ5" i="14"/>
  <c r="AT21" i="14"/>
  <c r="N99" i="14"/>
  <c r="BL114" i="14"/>
  <c r="J131" i="14"/>
  <c r="H131" i="14"/>
  <c r="BF147" i="14"/>
  <c r="BH147" i="14"/>
  <c r="AV4" i="14"/>
  <c r="AV37" i="14"/>
  <c r="AT37" i="14"/>
  <c r="N10" i="14"/>
  <c r="N17" i="14"/>
  <c r="AT23" i="14"/>
  <c r="H31" i="14"/>
  <c r="AT32" i="14"/>
  <c r="AV34" i="14"/>
  <c r="AT34" i="14"/>
  <c r="AV38" i="14"/>
  <c r="AT38" i="14"/>
  <c r="N39" i="14"/>
  <c r="N40" i="14"/>
  <c r="AV42" i="14"/>
  <c r="AT42" i="14"/>
  <c r="N43" i="14"/>
  <c r="BH43" i="14"/>
  <c r="AT45" i="14"/>
  <c r="P49" i="14"/>
  <c r="N49" i="14"/>
  <c r="BH49" i="14"/>
  <c r="BB60" i="14"/>
  <c r="H62" i="14"/>
  <c r="AV75" i="14"/>
  <c r="AT102" i="14"/>
  <c r="BL124" i="14"/>
  <c r="H53" i="14"/>
  <c r="AT98" i="14"/>
  <c r="N100" i="14"/>
  <c r="H144" i="14"/>
  <c r="AZ144" i="14"/>
  <c r="AB180" i="14"/>
  <c r="H91" i="14"/>
  <c r="BB104" i="14"/>
  <c r="P122" i="14"/>
  <c r="N126" i="14"/>
  <c r="BL126" i="14"/>
  <c r="H130" i="14"/>
  <c r="H133" i="14"/>
  <c r="BL141" i="14"/>
  <c r="H143" i="14"/>
  <c r="BL147" i="14"/>
  <c r="AZ149" i="14"/>
  <c r="AZ155" i="14"/>
  <c r="AL179" i="14"/>
  <c r="AZ81" i="14"/>
  <c r="AZ98" i="14"/>
  <c r="BF101" i="14"/>
  <c r="BF104" i="14"/>
  <c r="AT117" i="14"/>
  <c r="BL131" i="14"/>
  <c r="AZ133" i="14"/>
  <c r="BL134" i="14"/>
  <c r="H138" i="14"/>
  <c r="BF144" i="14"/>
  <c r="N149" i="14"/>
  <c r="H151" i="14"/>
  <c r="BL153" i="14"/>
  <c r="N155" i="14"/>
  <c r="H157" i="14"/>
  <c r="BL159" i="14"/>
  <c r="AL183" i="14"/>
  <c r="N53" i="14"/>
  <c r="H55" i="14"/>
  <c r="AT55" i="14"/>
  <c r="H69" i="14"/>
  <c r="J71" i="14"/>
  <c r="BL71" i="14"/>
  <c r="BB80" i="14"/>
  <c r="AV87" i="14"/>
  <c r="BN105" i="14"/>
  <c r="AZ117" i="14"/>
  <c r="AZ120" i="14"/>
  <c r="AT127" i="14"/>
  <c r="AV135" i="14"/>
  <c r="BH139" i="14"/>
  <c r="H142" i="14"/>
  <c r="AZ142" i="14"/>
  <c r="BH145" i="14"/>
  <c r="H148" i="14"/>
  <c r="BL152" i="14"/>
  <c r="BL158" i="14"/>
  <c r="BM179" i="14"/>
  <c r="BA180" i="14"/>
  <c r="AZ180" i="14" s="1"/>
  <c r="AU183" i="14"/>
  <c r="AT183" i="14" s="1"/>
  <c r="AL181" i="14"/>
  <c r="AZ57" i="14"/>
  <c r="BL79" i="14"/>
  <c r="BF80" i="14"/>
  <c r="AZ86" i="14"/>
  <c r="AZ88" i="14"/>
  <c r="AT89" i="14"/>
  <c r="N90" i="14"/>
  <c r="N91" i="14"/>
  <c r="AZ92" i="14"/>
  <c r="N94" i="14"/>
  <c r="H108" i="14"/>
  <c r="H109" i="14"/>
  <c r="AT111" i="14"/>
  <c r="AT112" i="14"/>
  <c r="AZ113" i="14"/>
  <c r="N114" i="14"/>
  <c r="AZ114" i="14"/>
  <c r="N115" i="14"/>
  <c r="AZ115" i="14"/>
  <c r="N116" i="14"/>
  <c r="AZ116" i="14"/>
  <c r="AT119" i="14"/>
  <c r="N120" i="14"/>
  <c r="AZ124" i="14"/>
  <c r="BL125" i="14"/>
  <c r="N130" i="14"/>
  <c r="H132" i="14"/>
  <c r="BL133" i="14"/>
  <c r="AZ135" i="14"/>
  <c r="BL139" i="14"/>
  <c r="H141" i="14"/>
  <c r="AT141" i="14"/>
  <c r="BL144" i="14"/>
  <c r="BL145" i="14"/>
  <c r="H147" i="14"/>
  <c r="AT147" i="14"/>
  <c r="AZ151" i="14"/>
  <c r="AZ157" i="14"/>
  <c r="AL182" i="14"/>
  <c r="BH53" i="14"/>
  <c r="AZ55" i="14"/>
  <c r="BN81" i="14"/>
  <c r="I179" i="14"/>
  <c r="H179" i="14" s="1"/>
  <c r="C40" i="13"/>
  <c r="E40" i="13" s="1"/>
  <c r="E43" i="13" s="1"/>
  <c r="AV56" i="14"/>
  <c r="AV123" i="14"/>
  <c r="BH143" i="14"/>
  <c r="BH62" i="14"/>
  <c r="J64" i="14"/>
  <c r="J83" i="14"/>
  <c r="AV84" i="14"/>
  <c r="BH88" i="14"/>
  <c r="BB112" i="14"/>
  <c r="BH124" i="14"/>
  <c r="BH132" i="14"/>
  <c r="O180" i="14"/>
  <c r="N180" i="14" s="1"/>
  <c r="BH7" i="14"/>
  <c r="BF4" i="14"/>
  <c r="N5" i="14"/>
  <c r="AV5" i="14"/>
  <c r="N8" i="14"/>
  <c r="AV8" i="14"/>
  <c r="BF10" i="14"/>
  <c r="N11" i="14"/>
  <c r="AV11" i="14"/>
  <c r="BF13" i="14"/>
  <c r="N14" i="14"/>
  <c r="AV14" i="14"/>
  <c r="AT17" i="14"/>
  <c r="BN20" i="14"/>
  <c r="BL24" i="14"/>
  <c r="BF25" i="14"/>
  <c r="BN36" i="14"/>
  <c r="P51" i="14"/>
  <c r="BB51" i="14"/>
  <c r="N67" i="14"/>
  <c r="BN69" i="14"/>
  <c r="AV72" i="14"/>
  <c r="N74" i="14"/>
  <c r="J92" i="14"/>
  <c r="H92" i="14"/>
  <c r="AZ126" i="14"/>
  <c r="BH59" i="14"/>
  <c r="BB22" i="14"/>
  <c r="BB26" i="14"/>
  <c r="AV28" i="14"/>
  <c r="AT28" i="14"/>
  <c r="AT46" i="14"/>
  <c r="P57" i="14"/>
  <c r="AT61" i="14"/>
  <c r="AZ90" i="14"/>
  <c r="BH44" i="14"/>
  <c r="BF5" i="14"/>
  <c r="H25" i="14"/>
  <c r="BN25" i="14"/>
  <c r="N28" i="14"/>
  <c r="P42" i="14"/>
  <c r="BH50" i="14"/>
  <c r="AT52" i="14"/>
  <c r="AZ96" i="14"/>
  <c r="BH118" i="14"/>
  <c r="BB152" i="14"/>
  <c r="AZ152" i="14"/>
  <c r="AZ158" i="14"/>
  <c r="AZ6" i="14"/>
  <c r="AZ9" i="14"/>
  <c r="AZ12" i="14"/>
  <c r="AZ15" i="14"/>
  <c r="BF17" i="14"/>
  <c r="N18" i="14"/>
  <c r="AT18" i="14"/>
  <c r="H19" i="14"/>
  <c r="BL19" i="14"/>
  <c r="AZ20" i="14"/>
  <c r="N24" i="14"/>
  <c r="AT24" i="14"/>
  <c r="AZ29" i="14"/>
  <c r="AZ37" i="14"/>
  <c r="AZ54" i="14"/>
  <c r="AZ63" i="14"/>
  <c r="AV83" i="14"/>
  <c r="AT83" i="14"/>
  <c r="AT142" i="14"/>
  <c r="AV142" i="14"/>
  <c r="BB41" i="14"/>
  <c r="AZ41" i="14"/>
  <c r="BH89" i="14"/>
  <c r="BF89" i="14"/>
  <c r="N152" i="14"/>
  <c r="P152" i="14"/>
  <c r="H5" i="14"/>
  <c r="BL5" i="14"/>
  <c r="H8" i="14"/>
  <c r="BL8" i="14"/>
  <c r="H11" i="14"/>
  <c r="BL11" i="14"/>
  <c r="H14" i="14"/>
  <c r="BL14" i="14"/>
  <c r="N21" i="14"/>
  <c r="AZ45" i="14"/>
  <c r="P54" i="14"/>
  <c r="AT58" i="14"/>
  <c r="P63" i="14"/>
  <c r="H66" i="14"/>
  <c r="P77" i="14"/>
  <c r="J135" i="14"/>
  <c r="H135" i="14"/>
  <c r="J87" i="14"/>
  <c r="H87" i="14"/>
  <c r="BL95" i="14"/>
  <c r="BN95" i="14"/>
  <c r="BB111" i="14"/>
  <c r="AZ111" i="14"/>
  <c r="N138" i="14"/>
  <c r="P138" i="14"/>
  <c r="P123" i="14"/>
  <c r="N123" i="14"/>
  <c r="AT19" i="14"/>
  <c r="BB24" i="14"/>
  <c r="BN27" i="14"/>
  <c r="AT43" i="14"/>
  <c r="BH47" i="14"/>
  <c r="AZ65" i="14"/>
  <c r="H73" i="14"/>
  <c r="AV81" i="14"/>
  <c r="AT81" i="14"/>
  <c r="J93" i="14"/>
  <c r="H93" i="14"/>
  <c r="BB109" i="14"/>
  <c r="AZ109" i="14"/>
  <c r="P111" i="14"/>
  <c r="N111" i="14"/>
  <c r="N19" i="14"/>
  <c r="H23" i="14"/>
  <c r="H27" i="14"/>
  <c r="AT49" i="14"/>
  <c r="N81" i="14"/>
  <c r="BB107" i="14"/>
  <c r="AZ107" i="14"/>
  <c r="P109" i="14"/>
  <c r="N109" i="14"/>
  <c r="J86" i="14"/>
  <c r="H86" i="14"/>
  <c r="BN118" i="14"/>
  <c r="BL118" i="14"/>
  <c r="J125" i="14"/>
  <c r="H125" i="14"/>
  <c r="BH126" i="14"/>
  <c r="BF126" i="14"/>
  <c r="P132" i="14"/>
  <c r="N132" i="14"/>
  <c r="J137" i="14"/>
  <c r="H137" i="14"/>
  <c r="N158" i="14"/>
  <c r="P158" i="14"/>
  <c r="BF29" i="14"/>
  <c r="N30" i="14"/>
  <c r="AT30" i="14"/>
  <c r="BF31" i="14"/>
  <c r="N32" i="14"/>
  <c r="BF51" i="14"/>
  <c r="N52" i="14"/>
  <c r="BF54" i="14"/>
  <c r="N55" i="14"/>
  <c r="BF57" i="14"/>
  <c r="N58" i="14"/>
  <c r="BF60" i="14"/>
  <c r="N61" i="14"/>
  <c r="BF63" i="14"/>
  <c r="AZ67" i="14"/>
  <c r="BF70" i="14"/>
  <c r="BL76" i="14"/>
  <c r="N78" i="14"/>
  <c r="AZ82" i="14"/>
  <c r="P83" i="14"/>
  <c r="N83" i="14"/>
  <c r="AZ84" i="14"/>
  <c r="N86" i="14"/>
  <c r="AT92" i="14"/>
  <c r="H94" i="14"/>
  <c r="BH96" i="14"/>
  <c r="BF96" i="14"/>
  <c r="N98" i="14"/>
  <c r="BB105" i="14"/>
  <c r="AZ105" i="14"/>
  <c r="P107" i="14"/>
  <c r="N107" i="14"/>
  <c r="BF116" i="14"/>
  <c r="J128" i="14"/>
  <c r="BN149" i="14"/>
  <c r="BL149" i="14"/>
  <c r="H33" i="14"/>
  <c r="H35" i="14"/>
  <c r="H37" i="14"/>
  <c r="H39" i="14"/>
  <c r="AZ40" i="14"/>
  <c r="BH81" i="14"/>
  <c r="BF81" i="14"/>
  <c r="BH90" i="14"/>
  <c r="BF90" i="14"/>
  <c r="BB103" i="14"/>
  <c r="AZ103" i="14"/>
  <c r="P105" i="14"/>
  <c r="N105" i="14"/>
  <c r="AV120" i="14"/>
  <c r="AT120" i="14"/>
  <c r="BB125" i="14"/>
  <c r="AZ125" i="14"/>
  <c r="BB128" i="14"/>
  <c r="AZ128" i="14"/>
  <c r="AT140" i="14"/>
  <c r="AV140" i="14"/>
  <c r="AT146" i="14"/>
  <c r="AV146" i="14"/>
  <c r="BN155" i="14"/>
  <c r="BL155" i="14"/>
  <c r="BF74" i="14"/>
  <c r="BB78" i="14"/>
  <c r="AZ78" i="14"/>
  <c r="H80" i="14"/>
  <c r="BN80" i="14"/>
  <c r="BL80" i="14"/>
  <c r="BF97" i="14"/>
  <c r="BB101" i="14"/>
  <c r="AZ101" i="14"/>
  <c r="P103" i="14"/>
  <c r="N103" i="14"/>
  <c r="BN112" i="14"/>
  <c r="BL112" i="14"/>
  <c r="AV124" i="14"/>
  <c r="AT124" i="14"/>
  <c r="BF125" i="14"/>
  <c r="BH125" i="14"/>
  <c r="AT136" i="14"/>
  <c r="AV136" i="14"/>
  <c r="H42" i="14"/>
  <c r="BL42" i="14"/>
  <c r="H45" i="14"/>
  <c r="BL45" i="14"/>
  <c r="H48" i="14"/>
  <c r="BL48" i="14"/>
  <c r="H51" i="14"/>
  <c r="BL51" i="14"/>
  <c r="H54" i="14"/>
  <c r="BL54" i="14"/>
  <c r="H57" i="14"/>
  <c r="BL57" i="14"/>
  <c r="H60" i="14"/>
  <c r="BL60" i="14"/>
  <c r="H63" i="14"/>
  <c r="BL63" i="14"/>
  <c r="BF67" i="14"/>
  <c r="BL70" i="14"/>
  <c r="H72" i="14"/>
  <c r="N73" i="14"/>
  <c r="AT73" i="14"/>
  <c r="AZ87" i="14"/>
  <c r="J96" i="14"/>
  <c r="H96" i="14"/>
  <c r="P101" i="14"/>
  <c r="N101" i="14"/>
  <c r="BN110" i="14"/>
  <c r="BL110" i="14"/>
  <c r="P128" i="14"/>
  <c r="N128" i="14"/>
  <c r="P131" i="14"/>
  <c r="N131" i="14"/>
  <c r="BF131" i="14"/>
  <c r="BH131" i="14"/>
  <c r="BB150" i="14"/>
  <c r="AZ150" i="14"/>
  <c r="BH86" i="14"/>
  <c r="BF86" i="14"/>
  <c r="J89" i="14"/>
  <c r="H89" i="14"/>
  <c r="J90" i="14"/>
  <c r="H90" i="14"/>
  <c r="J95" i="14"/>
  <c r="H95" i="14"/>
  <c r="BH99" i="14"/>
  <c r="BF99" i="14"/>
  <c r="BN108" i="14"/>
  <c r="BL108" i="14"/>
  <c r="BB156" i="14"/>
  <c r="AZ156" i="14"/>
  <c r="AZ44" i="14"/>
  <c r="AZ47" i="14"/>
  <c r="AZ50" i="14"/>
  <c r="AZ53" i="14"/>
  <c r="AZ56" i="14"/>
  <c r="AZ59" i="14"/>
  <c r="AZ62" i="14"/>
  <c r="AZ66" i="14"/>
  <c r="BF69" i="14"/>
  <c r="BL72" i="14"/>
  <c r="BL78" i="14"/>
  <c r="BN84" i="14"/>
  <c r="BL84" i="14"/>
  <c r="BH92" i="14"/>
  <c r="BF92" i="14"/>
  <c r="H97" i="14"/>
  <c r="BN98" i="14"/>
  <c r="BN106" i="14"/>
  <c r="BL106" i="14"/>
  <c r="AT113" i="14"/>
  <c r="J114" i="14"/>
  <c r="H114" i="14"/>
  <c r="AZ119" i="14"/>
  <c r="BN120" i="14"/>
  <c r="BL120" i="14"/>
  <c r="BB130" i="14"/>
  <c r="AZ130" i="14"/>
  <c r="AT144" i="14"/>
  <c r="AV144" i="14"/>
  <c r="N150" i="14"/>
  <c r="P150" i="14"/>
  <c r="J82" i="14"/>
  <c r="H82" i="14"/>
  <c r="BH87" i="14"/>
  <c r="BF87" i="14"/>
  <c r="BN104" i="14"/>
  <c r="BL104" i="14"/>
  <c r="J116" i="14"/>
  <c r="H116" i="14"/>
  <c r="N156" i="14"/>
  <c r="P156" i="14"/>
  <c r="H181" i="14"/>
  <c r="J181" i="14"/>
  <c r="BB73" i="14"/>
  <c r="P76" i="14"/>
  <c r="BN92" i="14"/>
  <c r="BH93" i="14"/>
  <c r="BF93" i="14"/>
  <c r="BN102" i="14"/>
  <c r="BL102" i="14"/>
  <c r="P119" i="14"/>
  <c r="BH119" i="14"/>
  <c r="BF119" i="14"/>
  <c r="BB123" i="14"/>
  <c r="AZ123" i="14"/>
  <c r="BF127" i="14"/>
  <c r="BH127" i="14"/>
  <c r="AT129" i="14"/>
  <c r="AV129" i="14"/>
  <c r="P133" i="14"/>
  <c r="N133" i="14"/>
  <c r="BH133" i="14"/>
  <c r="P136" i="14"/>
  <c r="N136" i="14"/>
  <c r="AV77" i="14"/>
  <c r="J99" i="14"/>
  <c r="H99" i="14"/>
  <c r="BN100" i="14"/>
  <c r="BL100" i="14"/>
  <c r="AV121" i="14"/>
  <c r="AT121" i="14"/>
  <c r="BH123" i="14"/>
  <c r="BF123" i="14"/>
  <c r="P127" i="14"/>
  <c r="N127" i="14"/>
  <c r="H149" i="14"/>
  <c r="H155" i="14"/>
  <c r="N183" i="14"/>
  <c r="BL82" i="14"/>
  <c r="H84" i="14"/>
  <c r="N85" i="14"/>
  <c r="AT85" i="14"/>
  <c r="AT88" i="14"/>
  <c r="AT91" i="14"/>
  <c r="AT94" i="14"/>
  <c r="AT97" i="14"/>
  <c r="H153" i="14"/>
  <c r="H159" i="14"/>
  <c r="BH128" i="14"/>
  <c r="AV134" i="14"/>
  <c r="BF95" i="14"/>
  <c r="H98" i="14"/>
  <c r="BF98" i="14"/>
  <c r="N102" i="14"/>
  <c r="N104" i="14"/>
  <c r="N106" i="14"/>
  <c r="N108" i="14"/>
  <c r="N110" i="14"/>
  <c r="N112" i="14"/>
  <c r="H113" i="14"/>
  <c r="H115" i="14"/>
  <c r="H117" i="14"/>
  <c r="BL117" i="14"/>
  <c r="AZ118" i="14"/>
  <c r="BF120" i="14"/>
  <c r="AT125" i="14"/>
  <c r="BH129" i="14"/>
  <c r="P135" i="14"/>
  <c r="N135" i="14"/>
  <c r="BH135" i="14"/>
  <c r="N140" i="14"/>
  <c r="N142" i="14"/>
  <c r="N144" i="14"/>
  <c r="N146" i="14"/>
  <c r="N148" i="14"/>
  <c r="AZ148" i="14"/>
  <c r="AZ154" i="14"/>
  <c r="BF179" i="14"/>
  <c r="BH179" i="14"/>
  <c r="BF182" i="14"/>
  <c r="H123" i="14"/>
  <c r="P154" i="14"/>
  <c r="AV180" i="14"/>
  <c r="AT180" i="14"/>
  <c r="BB180" i="14"/>
  <c r="BA182" i="14"/>
  <c r="T182" i="14"/>
  <c r="U182" i="14" s="1"/>
  <c r="O182" i="14"/>
  <c r="AU182" i="14"/>
  <c r="BM182" i="14"/>
  <c r="I182" i="14"/>
  <c r="BN183" i="14"/>
  <c r="BL183" i="14"/>
  <c r="P180" i="14"/>
  <c r="BM181" i="14"/>
  <c r="BG180" i="14"/>
  <c r="O181" i="14"/>
  <c r="T183" i="14"/>
  <c r="U183" i="14" s="1"/>
  <c r="BA183" i="14"/>
  <c r="BF148" i="14"/>
  <c r="AT149" i="14"/>
  <c r="BF150" i="14"/>
  <c r="AT151" i="14"/>
  <c r="BF152" i="14"/>
  <c r="AT153" i="14"/>
  <c r="BF154" i="14"/>
  <c r="AT155" i="14"/>
  <c r="BF156" i="14"/>
  <c r="AT157" i="14"/>
  <c r="BF158" i="14"/>
  <c r="AT159" i="14"/>
  <c r="AU179" i="14"/>
  <c r="O179" i="14"/>
  <c r="I180" i="14"/>
  <c r="T181" i="14"/>
  <c r="U181" i="14" s="1"/>
  <c r="BA181" i="14"/>
  <c r="AB183" i="14"/>
  <c r="N137" i="14"/>
  <c r="N139" i="14"/>
  <c r="N141" i="14"/>
  <c r="N143" i="14"/>
  <c r="N145" i="14"/>
  <c r="N147" i="14"/>
  <c r="H150" i="14"/>
  <c r="H152" i="14"/>
  <c r="H154" i="14"/>
  <c r="H156" i="14"/>
  <c r="H158" i="14"/>
  <c r="AL180" i="14"/>
  <c r="BM180" i="14"/>
  <c r="BG183" i="14"/>
  <c r="BA179" i="14"/>
  <c r="AB181" i="14"/>
  <c r="BG181" i="14"/>
  <c r="I183" i="14"/>
  <c r="AB179" i="14"/>
  <c r="D96" i="13"/>
  <c r="E96" i="13"/>
  <c r="F96" i="13"/>
  <c r="G96" i="13"/>
  <c r="H96" i="13"/>
  <c r="I96" i="13"/>
  <c r="J96" i="13"/>
  <c r="K96" i="13"/>
  <c r="L96" i="13"/>
  <c r="M96" i="13"/>
  <c r="N96" i="13"/>
  <c r="C96" i="13"/>
  <c r="O82" i="13"/>
  <c r="P82" i="13" s="1"/>
  <c r="O81" i="13"/>
  <c r="P81" i="13" s="1"/>
  <c r="J42" i="13"/>
  <c r="I42" i="13"/>
  <c r="G42" i="13"/>
  <c r="D42" i="13"/>
  <c r="J38" i="13"/>
  <c r="I38" i="13"/>
  <c r="G38" i="13"/>
  <c r="D38" i="13"/>
  <c r="AT181" i="14" l="1"/>
  <c r="J179" i="14"/>
  <c r="G137" i="13"/>
  <c r="Q58" i="28"/>
  <c r="R58" i="28" s="1"/>
  <c r="R62" i="28" s="1"/>
  <c r="R64" i="28" s="1"/>
  <c r="D113" i="28"/>
  <c r="E58" i="28"/>
  <c r="F40" i="13"/>
  <c r="F43" i="13" s="1"/>
  <c r="H40" i="13"/>
  <c r="H43" i="13" s="1"/>
  <c r="BN179" i="14"/>
  <c r="BL179" i="14"/>
  <c r="AV183" i="14"/>
  <c r="J183" i="14"/>
  <c r="H183" i="14"/>
  <c r="BB179" i="14"/>
  <c r="AZ179" i="14"/>
  <c r="P181" i="14"/>
  <c r="N181" i="14"/>
  <c r="J180" i="14"/>
  <c r="H180" i="14"/>
  <c r="BH183" i="14"/>
  <c r="BF183" i="14"/>
  <c r="P179" i="14"/>
  <c r="N179" i="14"/>
  <c r="BH180" i="14"/>
  <c r="BF180" i="14"/>
  <c r="J182" i="14"/>
  <c r="H182" i="14"/>
  <c r="BB181" i="14"/>
  <c r="AZ181" i="14"/>
  <c r="BL181" i="14"/>
  <c r="BN181" i="14"/>
  <c r="BN182" i="14"/>
  <c r="BL182" i="14"/>
  <c r="BN180" i="14"/>
  <c r="BL180" i="14"/>
  <c r="AV179" i="14"/>
  <c r="AT179" i="14"/>
  <c r="AV182" i="14"/>
  <c r="AT182" i="14"/>
  <c r="BB183" i="14"/>
  <c r="AZ183" i="14"/>
  <c r="BH181" i="14"/>
  <c r="BF181" i="14"/>
  <c r="AZ182" i="14"/>
  <c r="BB182" i="14"/>
  <c r="P182" i="14"/>
  <c r="N182" i="14"/>
  <c r="O96" i="13"/>
  <c r="E113" i="28" l="1"/>
  <c r="J116" i="28" s="1"/>
  <c r="E147" i="13"/>
  <c r="J61" i="28"/>
  <c r="E62" i="28"/>
  <c r="E64" i="28" s="1"/>
  <c r="E138" i="13" s="1"/>
  <c r="R65" i="28"/>
  <c r="R69" i="28"/>
  <c r="H53" i="13"/>
  <c r="O100" i="13"/>
  <c r="O95" i="13"/>
  <c r="O92" i="13"/>
  <c r="P92" i="13" s="1"/>
  <c r="O93" i="13"/>
  <c r="O90" i="13"/>
  <c r="P90" i="13" s="1"/>
  <c r="H55" i="13" l="1"/>
  <c r="H60" i="13" s="1"/>
  <c r="E117" i="28"/>
  <c r="E119" i="28" s="1"/>
  <c r="E148" i="13" s="1"/>
  <c r="I133" i="28"/>
  <c r="K116" i="28"/>
  <c r="K117" i="28" s="1"/>
  <c r="J117" i="28"/>
  <c r="E69" i="28"/>
  <c r="K63" i="28"/>
  <c r="E65" i="28"/>
  <c r="E66" i="28" s="1"/>
  <c r="E67" i="28" s="1"/>
  <c r="E68" i="28" s="1"/>
  <c r="K61" i="28"/>
  <c r="K62" i="28" s="1"/>
  <c r="J62" i="28"/>
  <c r="M98" i="13"/>
  <c r="N98" i="13"/>
  <c r="E130" i="28" l="1"/>
  <c r="E132" i="28" s="1"/>
  <c r="E133" i="28" s="1"/>
  <c r="E134" i="28" s="1"/>
  <c r="K64" i="28"/>
  <c r="E124" i="28"/>
  <c r="E127" i="28" s="1"/>
  <c r="E120" i="28"/>
  <c r="E121" i="28" s="1"/>
  <c r="E122" i="28" s="1"/>
  <c r="E123" i="28" s="1"/>
  <c r="K118" i="28"/>
  <c r="K119" i="28" s="1"/>
  <c r="K133" i="28"/>
  <c r="I134" i="28"/>
  <c r="L98" i="13"/>
  <c r="E136" i="28" l="1"/>
  <c r="E47" i="13" s="1"/>
  <c r="L133" i="28"/>
  <c r="L134" i="28" s="1"/>
  <c r="K134" i="28"/>
  <c r="E98" i="13"/>
  <c r="F98" i="13"/>
  <c r="G98" i="13"/>
  <c r="H98" i="13"/>
  <c r="I98" i="13"/>
  <c r="J98" i="13"/>
  <c r="K98" i="13"/>
  <c r="C98" i="13"/>
  <c r="D98" i="13"/>
  <c r="E55" i="13" l="1"/>
  <c r="E60" i="13" s="1"/>
  <c r="O98" i="13"/>
  <c r="I40" i="13"/>
  <c r="D40" i="13"/>
  <c r="G40" i="13" s="1"/>
  <c r="F18" i="13" l="1"/>
  <c r="I18" i="13" s="1"/>
  <c r="F45" i="13" s="1"/>
  <c r="F22" i="13"/>
  <c r="I22" i="13" s="1"/>
  <c r="J45" i="13" s="1"/>
  <c r="F21" i="13"/>
  <c r="I21" i="13" s="1"/>
  <c r="I45" i="13" s="1"/>
  <c r="F19" i="13"/>
  <c r="I19" i="13" s="1"/>
  <c r="G45" i="13" s="1"/>
  <c r="D15" i="13"/>
  <c r="F15" i="13" s="1"/>
  <c r="I15" i="13" s="1"/>
  <c r="C45" i="13" s="1"/>
  <c r="J43" i="13" l="1"/>
  <c r="J55" i="13" s="1"/>
  <c r="J60" i="13" s="1"/>
  <c r="G43" i="13" l="1"/>
  <c r="C43" i="13"/>
  <c r="C53" i="13" s="1"/>
  <c r="I43" i="13"/>
  <c r="I55" i="13" s="1"/>
  <c r="I60" i="13" s="1"/>
  <c r="D43" i="13"/>
  <c r="D53" i="13" l="1"/>
  <c r="D122" i="13"/>
  <c r="C55" i="13"/>
  <c r="C60" i="13" s="1"/>
  <c r="Q58" i="16" l="1"/>
  <c r="R58" i="16" s="1"/>
  <c r="R62" i="16" s="1"/>
  <c r="R64" i="16" s="1"/>
  <c r="F53" i="13"/>
  <c r="Q58" i="25"/>
  <c r="R58" i="25" s="1"/>
  <c r="R62" i="25" s="1"/>
  <c r="R64" i="25" s="1"/>
  <c r="D112" i="25"/>
  <c r="E112" i="25" s="1"/>
  <c r="E58" i="25"/>
  <c r="G53" i="13"/>
  <c r="F17" i="13"/>
  <c r="I17" i="13" s="1"/>
  <c r="D45" i="13" s="1"/>
  <c r="E58" i="16" l="1"/>
  <c r="E62" i="16" s="1"/>
  <c r="E64" i="16" s="1"/>
  <c r="D113" i="16"/>
  <c r="E62" i="25"/>
  <c r="E64" i="25" s="1"/>
  <c r="J61" i="25"/>
  <c r="E116" i="25"/>
  <c r="J115" i="25"/>
  <c r="R69" i="25"/>
  <c r="R65" i="25"/>
  <c r="R65" i="16"/>
  <c r="R69" i="16"/>
  <c r="E113" i="16" l="1"/>
  <c r="E117" i="16" s="1"/>
  <c r="E119" i="16" s="1"/>
  <c r="F147" i="13"/>
  <c r="G147" i="13" s="1"/>
  <c r="E69" i="16"/>
  <c r="F138" i="13"/>
  <c r="G138" i="13" s="1"/>
  <c r="J61" i="16"/>
  <c r="K61" i="16" s="1"/>
  <c r="K62" i="16" s="1"/>
  <c r="K61" i="25"/>
  <c r="K62" i="25" s="1"/>
  <c r="J62" i="25"/>
  <c r="J116" i="25"/>
  <c r="K115" i="25"/>
  <c r="K116" i="25" s="1"/>
  <c r="I132" i="25"/>
  <c r="E129" i="25"/>
  <c r="E118" i="25"/>
  <c r="K63" i="25"/>
  <c r="E69" i="25"/>
  <c r="E65" i="25"/>
  <c r="E66" i="25" s="1"/>
  <c r="E67" i="25" s="1"/>
  <c r="E68" i="25" s="1"/>
  <c r="E65" i="16"/>
  <c r="E66" i="16" s="1"/>
  <c r="E67" i="16" s="1"/>
  <c r="E68" i="16" s="1"/>
  <c r="K63" i="16"/>
  <c r="J116" i="16" l="1"/>
  <c r="J117" i="16" s="1"/>
  <c r="E124" i="16"/>
  <c r="E127" i="16" s="1"/>
  <c r="F148" i="13"/>
  <c r="G148" i="13" s="1"/>
  <c r="J62" i="16"/>
  <c r="E130" i="16"/>
  <c r="E132" i="16" s="1"/>
  <c r="E133" i="16" s="1"/>
  <c r="E134" i="16" s="1"/>
  <c r="E135" i="25"/>
  <c r="G47" i="13" s="1"/>
  <c r="E131" i="25"/>
  <c r="E132" i="25" s="1"/>
  <c r="E133" i="25" s="1"/>
  <c r="K132" i="25"/>
  <c r="I133" i="25"/>
  <c r="E123" i="25"/>
  <c r="E126" i="25" s="1"/>
  <c r="E119" i="25"/>
  <c r="E120" i="25" s="1"/>
  <c r="E121" i="25" s="1"/>
  <c r="E122" i="25" s="1"/>
  <c r="K117" i="25"/>
  <c r="K118" i="25" s="1"/>
  <c r="K64" i="25"/>
  <c r="K64" i="16"/>
  <c r="E120" i="16"/>
  <c r="E121" i="16" s="1"/>
  <c r="E122" i="16" s="1"/>
  <c r="E123" i="16" s="1"/>
  <c r="K118" i="16"/>
  <c r="I133" i="16" l="1"/>
  <c r="K133" i="16" s="1"/>
  <c r="K134" i="16" s="1"/>
  <c r="K116" i="16"/>
  <c r="K117" i="16" s="1"/>
  <c r="K119" i="16" s="1"/>
  <c r="E136" i="16"/>
  <c r="D47" i="13" s="1"/>
  <c r="L132" i="25"/>
  <c r="L133" i="25" s="1"/>
  <c r="K133" i="25"/>
  <c r="G55" i="13"/>
  <c r="G60" i="13" s="1"/>
  <c r="F47" i="13" l="1"/>
  <c r="L133" i="16"/>
  <c r="L134" i="16" s="1"/>
  <c r="I134" i="16"/>
  <c r="D55" i="13"/>
  <c r="D60" i="13" s="1"/>
  <c r="F55" i="13" l="1"/>
  <c r="F60" i="13" s="1"/>
  <c r="L60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</authors>
  <commentList>
    <comment ref="Q57" authorId="0" shapeId="0" xr:uid="{EB7202D0-AE6B-4BB3-9718-7B43BF5D65C1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</authors>
  <commentList>
    <comment ref="Q57" authorId="0" shapeId="0" xr:uid="{367D8475-26BC-4847-8770-E9378E3B7D30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</authors>
  <commentList>
    <comment ref="Q57" authorId="0" shapeId="0" xr:uid="{5D15CF39-B170-43A5-91F5-45CC49CA5535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Sully</author>
  </authors>
  <commentList>
    <comment ref="D2" authorId="0" shapeId="0" xr:uid="{B6C7B307-9DAB-4E5F-8533-927BC8CCB165}">
      <text>
        <r>
          <rPr>
            <sz val="9"/>
            <color indexed="81"/>
            <rFont val="Tahoma"/>
            <family val="2"/>
          </rPr>
          <t xml:space="preserve">Source: Broker
</t>
        </r>
      </text>
    </comment>
    <comment ref="E2" authorId="0" shapeId="0" xr:uid="{3B163838-FC35-4629-8CA3-34EAEAAD4DBB}">
      <text>
        <r>
          <rPr>
            <b/>
            <sz val="9"/>
            <color indexed="81"/>
            <rFont val="Tahoma"/>
            <family val="2"/>
          </rPr>
          <t xml:space="preserve">Source: Bank of Canada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8" authorId="0" shapeId="0" xr:uid="{9FC277E4-A7A2-4CA0-9D81-C0C340E56E44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63.1%</t>
        </r>
      </text>
    </comment>
    <comment ref="AU171" authorId="0" shapeId="0" xr:uid="{B3171A43-A450-47D6-8E5D-4A01A995084A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CAL Base Price DEC-24 $597.81??</t>
        </r>
      </text>
    </comment>
  </commentList>
</comments>
</file>

<file path=xl/sharedStrings.xml><?xml version="1.0" encoding="utf-8"?>
<sst xmlns="http://schemas.openxmlformats.org/spreadsheetml/2006/main" count="2843" uniqueCount="504">
  <si>
    <t>Total</t>
  </si>
  <si>
    <t>FX</t>
  </si>
  <si>
    <t>Stream</t>
  </si>
  <si>
    <t>CHV</t>
  </si>
  <si>
    <t>WCS</t>
  </si>
  <si>
    <t>Month</t>
  </si>
  <si>
    <t>Reference Price</t>
  </si>
  <si>
    <t>TAN Blend Value</t>
  </si>
  <si>
    <t>Linefill Cost</t>
  </si>
  <si>
    <t>Netback</t>
  </si>
  <si>
    <t>EDI/COLC</t>
  </si>
  <si>
    <t>Length (hrs)</t>
  </si>
  <si>
    <t>Round Trip</t>
  </si>
  <si>
    <t>Total Truck Hours</t>
  </si>
  <si>
    <t>Loading &amp; Unloading</t>
  </si>
  <si>
    <t>HWX Marten Hills</t>
  </si>
  <si>
    <t>ENB C5+ Tariff (CAD/M3)</t>
  </si>
  <si>
    <t>ENB C5+ Tank Fee (CAD/M3)</t>
  </si>
  <si>
    <t>PMC RP2 Tariff (CAD/M3)</t>
  </si>
  <si>
    <t>PMC Rebate</t>
  </si>
  <si>
    <t>PMC Rainbow L/A (CAD/M3) - 0.15%</t>
  </si>
  <si>
    <t>PMC RP2 L/A (CAD/M3) - 0.15%</t>
  </si>
  <si>
    <t>Raw Crude Volume (M3/M)</t>
  </si>
  <si>
    <t>Condensate Volume (M3/M)</t>
  </si>
  <si>
    <t>C4 Volume (M3/M)</t>
  </si>
  <si>
    <t>Shrinkage</t>
  </si>
  <si>
    <t>C4 Transportation</t>
  </si>
  <si>
    <t>Blend Density (Marten Hills)</t>
  </si>
  <si>
    <t>Net Benefit (CAD/M3 Blend)</t>
  </si>
  <si>
    <t>Total Transportation</t>
  </si>
  <si>
    <t>2.25% increase Y/Y</t>
  </si>
  <si>
    <t>2% increase Y/Y</t>
  </si>
  <si>
    <t>PMC Rainbow Blend Tariff (CAD/M3) 2.25% increase Y/Y</t>
  </si>
  <si>
    <t>Receipt Location - Blended Crude</t>
  </si>
  <si>
    <t>WTI (USD/BBL)</t>
  </si>
  <si>
    <t>WCS Diff (USD/BBL)</t>
  </si>
  <si>
    <t>CHV Diff (USD/BBL)</t>
  </si>
  <si>
    <t>Assume no C5</t>
  </si>
  <si>
    <t>Average annual Benefit to HWX</t>
  </si>
  <si>
    <t>Annualized</t>
  </si>
  <si>
    <t>Gross Benefit (CAD/M3 Blend)</t>
  </si>
  <si>
    <t>Truck Rate (CAD/HR)</t>
  </si>
  <si>
    <t>Marten Hills Blend Tariff (CAD/M3)</t>
  </si>
  <si>
    <t>Marten Hills C5 Tariff (CAD/M3)</t>
  </si>
  <si>
    <t>Marten Hills L/A (CAD/M3) - 0.2%</t>
  </si>
  <si>
    <t>YEAR</t>
  </si>
  <si>
    <t>Days per Month</t>
  </si>
  <si>
    <t>WTI CMA (USD/BBL)</t>
  </si>
  <si>
    <t>FX (CAD/USD)</t>
  </si>
  <si>
    <t>MSW DIFF (USD/BBL)</t>
  </si>
  <si>
    <t>MSW WADF (CAD/M3)</t>
  </si>
  <si>
    <t>MSW PAR (BASE) PRICE</t>
  </si>
  <si>
    <t>MSW STREAM PRICE</t>
  </si>
  <si>
    <t>MSW to WTI</t>
  </si>
  <si>
    <t>C5+ vs. MSW DIFF</t>
  </si>
  <si>
    <t>FTSK C5+ DIFF</t>
  </si>
  <si>
    <t>FTSK C5+ PAR (BASE) PRICE</t>
  </si>
  <si>
    <t>FTSK C5+ STREAM PRICE</t>
  </si>
  <si>
    <t>FTSK C5+ to WTI</t>
  </si>
  <si>
    <t>PEACE C5+ DIFF</t>
  </si>
  <si>
    <t>PEACE C5+ PAR (BASE) PRICE</t>
  </si>
  <si>
    <t>PEACE C5+ STREAM PRICE</t>
  </si>
  <si>
    <t>PEACE C5+ to WTI</t>
  </si>
  <si>
    <t>KAPS C5+ DIFF</t>
  </si>
  <si>
    <t>CRW C5+ ENB WADF</t>
  </si>
  <si>
    <t>C5+ DENSITY SLOPE (CAD/M3 per KG/M3)</t>
  </si>
  <si>
    <t>C5+ ALLOW PRICE</t>
  </si>
  <si>
    <t>WCS DIFF</t>
  </si>
  <si>
    <t>WCS PRICE</t>
  </si>
  <si>
    <t>MSW vs. WCS DIFF</t>
  </si>
  <si>
    <t>WCS vs. WTI</t>
  </si>
  <si>
    <t>WCS vs. C5+ (Diluent Cost)</t>
  </si>
  <si>
    <t>C4 to WTI</t>
  </si>
  <si>
    <t>C4 PRICE</t>
  </si>
  <si>
    <t>C4 Landed Marten Hills %WTI</t>
  </si>
  <si>
    <t>MSY DIFF/INDEX</t>
  </si>
  <si>
    <t>MSY to MSW DIFF</t>
  </si>
  <si>
    <t>MSE DIFF/INDEX</t>
  </si>
  <si>
    <t>MSE vs. MSW DIFF</t>
  </si>
  <si>
    <t>CAL DIFF</t>
  </si>
  <si>
    <t>CAL WADF</t>
  </si>
  <si>
    <t>CAL PAR (BASE) PRICE</t>
  </si>
  <si>
    <t>CAL STREAM PRICE</t>
  </si>
  <si>
    <t>CAL to WTI</t>
  </si>
  <si>
    <t>LSB DIFF</t>
  </si>
  <si>
    <t>LSB WADF</t>
  </si>
  <si>
    <t>LSB PAR (BASE) PRICE</t>
  </si>
  <si>
    <t>LSB STREAM PRICE</t>
  </si>
  <si>
    <t>LSB to WTI</t>
  </si>
  <si>
    <t>BRN DIFF</t>
  </si>
  <si>
    <t>BRN WADF</t>
  </si>
  <si>
    <t>BRN PAR (BASE) PRICE</t>
  </si>
  <si>
    <t>BRN STREAM PRICE</t>
  </si>
  <si>
    <t>BRN to WTI</t>
  </si>
  <si>
    <t>BRS DIFF</t>
  </si>
  <si>
    <t>BRS WADF</t>
  </si>
  <si>
    <t>BRS PAR (BASE) PRICE</t>
  </si>
  <si>
    <t>BRS STREAM PRICE</t>
  </si>
  <si>
    <t>BRS to WTI</t>
  </si>
  <si>
    <t>CHV Diff</t>
  </si>
  <si>
    <t>CHV PRICE</t>
  </si>
  <si>
    <t>CWH Diff</t>
  </si>
  <si>
    <t>CWH PRICE</t>
  </si>
  <si>
    <t>LLB Diff</t>
  </si>
  <si>
    <t>LLB PRICE</t>
  </si>
  <si>
    <t>WCB Diff</t>
  </si>
  <si>
    <t>WCB PRICE</t>
  </si>
  <si>
    <t>MONTH</t>
  </si>
  <si>
    <t>Days</t>
  </si>
  <si>
    <t>USD/BBL</t>
  </si>
  <si>
    <t>Rate</t>
  </si>
  <si>
    <t>CAD/M3</t>
  </si>
  <si>
    <t>%</t>
  </si>
  <si>
    <t>CAD/M3 per KG/M3</t>
  </si>
  <si>
    <t>N/A</t>
  </si>
  <si>
    <t>Mainline Surcharge</t>
  </si>
  <si>
    <t>N40 Fee</t>
  </si>
  <si>
    <t>N40 Tank Bottoms</t>
  </si>
  <si>
    <t>EDI</t>
  </si>
  <si>
    <t>COLC</t>
  </si>
  <si>
    <t>Linefill Interest</t>
  </si>
  <si>
    <t>Linefill Charge</t>
  </si>
  <si>
    <t>DRA Surcharge</t>
  </si>
  <si>
    <t>N40 Surcharge</t>
  </si>
  <si>
    <t>Rainbow SW (Interface)</t>
  </si>
  <si>
    <t>CRW C5+</t>
  </si>
  <si>
    <t>Date</t>
  </si>
  <si>
    <t>RESULTS</t>
  </si>
  <si>
    <t>Volume of Dry Crude =</t>
  </si>
  <si>
    <t>M3</t>
  </si>
  <si>
    <t>m3</t>
  </si>
  <si>
    <t>KG/M3</t>
  </si>
  <si>
    <t>% C5+ in Total Blend (Fc) =</t>
  </si>
  <si>
    <t xml:space="preserve">Density of Condensate (CRW C5+) = </t>
  </si>
  <si>
    <t>Condensate Required in Blend=</t>
  </si>
  <si>
    <t xml:space="preserve">Density of Target Blend = </t>
  </si>
  <si>
    <t>Shrinkage Volume =</t>
  </si>
  <si>
    <t>Volume of Blend =</t>
  </si>
  <si>
    <t>WADF</t>
  </si>
  <si>
    <t>Ref Price</t>
  </si>
  <si>
    <t>Apparent Condensate</t>
  </si>
  <si>
    <t>EQ</t>
  </si>
  <si>
    <r>
      <t xml:space="preserve">Shrinkage as:  </t>
    </r>
    <r>
      <rPr>
        <b/>
        <sz val="10"/>
        <rFont val="Arial"/>
        <family val="2"/>
      </rPr>
      <t>%C5+</t>
    </r>
  </si>
  <si>
    <t>Tariff on Purchase</t>
  </si>
  <si>
    <r>
      <t xml:space="preserve">Shrinkage as:  </t>
    </r>
    <r>
      <rPr>
        <b/>
        <sz val="10"/>
        <rFont val="Arial"/>
        <family val="2"/>
      </rPr>
      <t>%Blend</t>
    </r>
  </si>
  <si>
    <t>Trucking on Purchase</t>
  </si>
  <si>
    <t>C5 Density Slope</t>
  </si>
  <si>
    <r>
      <t xml:space="preserve">Shrinkage as:  </t>
    </r>
    <r>
      <rPr>
        <b/>
        <sz val="10"/>
        <rFont val="Arial"/>
        <family val="2"/>
      </rPr>
      <t>% Shrunk Blend</t>
    </r>
  </si>
  <si>
    <t>Other</t>
  </si>
  <si>
    <t xml:space="preserve"> </t>
  </si>
  <si>
    <t>vol blend w/o shrinkage</t>
  </si>
  <si>
    <r>
      <t xml:space="preserve">C5+ as </t>
    </r>
    <r>
      <rPr>
        <b/>
        <sz val="10"/>
        <rFont val="Arial"/>
        <family val="2"/>
      </rPr>
      <t>% of dry crude</t>
    </r>
  </si>
  <si>
    <r>
      <t xml:space="preserve">C5+ as </t>
    </r>
    <r>
      <rPr>
        <b/>
        <sz val="10"/>
        <rFont val="Arial"/>
        <family val="2"/>
      </rPr>
      <t>% of blend</t>
    </r>
  </si>
  <si>
    <t>NovaCor Eqn</t>
  </si>
  <si>
    <t>ITERATIONS:</t>
  </si>
  <si>
    <t xml:space="preserve">vol C5+ </t>
  </si>
  <si>
    <t>Density Blend</t>
  </si>
  <si>
    <t>Blend Shrinkage Factor  (Sf) =</t>
  </si>
  <si>
    <t>Pricing</t>
  </si>
  <si>
    <t>Condensate price @ Edmonton</t>
  </si>
  <si>
    <t>Total Condensate price:</t>
  </si>
  <si>
    <t>CHV Price (Edmonton)</t>
  </si>
  <si>
    <t>Rainbow Pipeline Terminal Fee</t>
  </si>
  <si>
    <t>Rainbow Pipeline Tariff</t>
  </si>
  <si>
    <t>Rainbow Inferface Fee</t>
  </si>
  <si>
    <t>Value of Heavy Blend:</t>
  </si>
  <si>
    <t xml:space="preserve">CAD  </t>
  </si>
  <si>
    <t>Value of Condensate:</t>
  </si>
  <si>
    <t>Cond</t>
  </si>
  <si>
    <t>Value of Raw Crude</t>
  </si>
  <si>
    <t>Rainbow Loss Allowance</t>
  </si>
  <si>
    <t>Raw Heavy Price</t>
  </si>
  <si>
    <t>Diff to WTI</t>
  </si>
  <si>
    <t>M3/M</t>
  </si>
  <si>
    <t>Volume of Raw Crude =</t>
  </si>
  <si>
    <t xml:space="preserve">Density of Raw Crude = </t>
  </si>
  <si>
    <t>Density (KG/M3)</t>
  </si>
  <si>
    <t>Sulfur (%Swt)</t>
  </si>
  <si>
    <t>Diff (USD/BBL)</t>
  </si>
  <si>
    <t>WADF (CAD/M3)</t>
  </si>
  <si>
    <t>Raw Crude Density</t>
  </si>
  <si>
    <t>Target Blend Density - CHV density, as reported by CM or Plains or Producer/Customer, in the delivery month</t>
  </si>
  <si>
    <t>Condensate Density - as reported by CM or Plains or Producer/Customer deliveries in the delivery month.</t>
  </si>
  <si>
    <t>Raw Crude Density - as measured by Producer or at Truck Unload or Oil Analysis.</t>
  </si>
  <si>
    <t>NOVACOR: Condensate Addition &amp; Shrinkage Calculations</t>
  </si>
  <si>
    <t>HEAVY ALLOW PRICE</t>
  </si>
  <si>
    <t>ENB REF TEMP</t>
  </si>
  <si>
    <t>DEG C</t>
  </si>
  <si>
    <t>C5 ENB/PMC Terminalling</t>
  </si>
  <si>
    <t>C5+:</t>
  </si>
  <si>
    <t>PRICING ASSUMPTIONS:</t>
  </si>
  <si>
    <t>PAR</t>
  </si>
  <si>
    <t>STREAM</t>
  </si>
  <si>
    <t>MONTH:</t>
  </si>
  <si>
    <t xml:space="preserve"> $Cdn/m3</t>
  </si>
  <si>
    <t>CONDENSATE EQ:</t>
  </si>
  <si>
    <t>$/m3</t>
  </si>
  <si>
    <t>C4 Content</t>
  </si>
  <si>
    <t>Penalty $/m3</t>
  </si>
  <si>
    <t>Penalty $/m3 /.1%</t>
  </si>
  <si>
    <t>WTI:</t>
  </si>
  <si>
    <t>C5+ Allow Price</t>
  </si>
  <si>
    <t>&lt;=5.0%</t>
  </si>
  <si>
    <t>FX:</t>
  </si>
  <si>
    <t>Butane Price</t>
  </si>
  <si>
    <t>&gt;5.0%-7.0%</t>
  </si>
  <si>
    <t>50% of Butane Value</t>
  </si>
  <si>
    <t>&gt; 7.0%</t>
  </si>
  <si>
    <t>C5+ INDEX ($US/bbl):</t>
  </si>
  <si>
    <t>Density Slope (C5+)</t>
  </si>
  <si>
    <t>$ / m3 per kg / m3</t>
  </si>
  <si>
    <t>750 kg/m3</t>
  </si>
  <si>
    <t>C4 Price %WTI  (Landed):</t>
  </si>
  <si>
    <t>Sulphur</t>
  </si>
  <si>
    <t>$ / m3 per .1 wt%</t>
  </si>
  <si>
    <t>.2% wt</t>
  </si>
  <si>
    <t>\</t>
  </si>
  <si>
    <t>CRUDE (INDUSTRY) EQ:</t>
  </si>
  <si>
    <t>C4 Diff:</t>
  </si>
  <si>
    <t xml:space="preserve"> (1 - 62.4%)</t>
  </si>
  <si>
    <t>Density Slope (Crude)</t>
  </si>
  <si>
    <t>Heavy Allow Price:</t>
  </si>
  <si>
    <t>C4 Purchase Price ($US/bbl):</t>
  </si>
  <si>
    <t>Enb. Ref Temp:</t>
  </si>
  <si>
    <t>C4 Diff to WTI ($US/bbl):</t>
  </si>
  <si>
    <t>C4 vs. C5+:</t>
  </si>
  <si>
    <t>Calculated EQ CREDIT:</t>
  </si>
  <si>
    <t>C5+ Density:</t>
  </si>
  <si>
    <t>C5+ Price after EQ:</t>
  </si>
  <si>
    <t>C5+ Sulfur:</t>
  </si>
  <si>
    <t>SCENARIO #1 - IF C5+ ONLY:</t>
  </si>
  <si>
    <t>TEMP CORR. VOLUMES &amp; DENSITY INPUTS</t>
  </si>
  <si>
    <t>Value</t>
  </si>
  <si>
    <t>Result</t>
  </si>
  <si>
    <t>Dens @ 15C</t>
  </si>
  <si>
    <t>% of Blend</t>
  </si>
  <si>
    <t>Shrinkage Percent</t>
  </si>
  <si>
    <t>SHRINKAGE</t>
  </si>
  <si>
    <t>Sum of Volumes</t>
  </si>
  <si>
    <t>Resultant Volume</t>
  </si>
  <si>
    <t>Raw Heavy Volume</t>
  </si>
  <si>
    <t>Raw (m3)</t>
  </si>
  <si>
    <t>RAW CRUDE OIL:</t>
  </si>
  <si>
    <t>Raw Heavy Density</t>
  </si>
  <si>
    <t>C5 (m3)</t>
  </si>
  <si>
    <t>Butane:</t>
  </si>
  <si>
    <t>C5 Density</t>
  </si>
  <si>
    <t>Delivered (m3)</t>
  </si>
  <si>
    <t>Condensate:</t>
  </si>
  <si>
    <t>Target Density</t>
  </si>
  <si>
    <t>Shrinkage (m3)</t>
  </si>
  <si>
    <t>Total Receipts:</t>
  </si>
  <si>
    <t>API 12.3 Heavy Oil Adjusted</t>
  </si>
  <si>
    <t>Wt.Avg. Kg/m3:</t>
  </si>
  <si>
    <t>Iteration 1</t>
  </si>
  <si>
    <t>Iteration 2</t>
  </si>
  <si>
    <t>Iteration 3</t>
  </si>
  <si>
    <t>Iteration 4</t>
  </si>
  <si>
    <t>Iteration 5</t>
  </si>
  <si>
    <t>Total Shrinkage:</t>
  </si>
  <si>
    <t>Net Volume:</t>
  </si>
  <si>
    <t>Diluent Density</t>
  </si>
  <si>
    <t>Total Shrinkage as % of Total Receipts:</t>
  </si>
  <si>
    <t xml:space="preserve"> --- Linked to INPUT values above ---</t>
  </si>
  <si>
    <t>Raw Heavy Volume (m3)</t>
  </si>
  <si>
    <t>LIGHT</t>
  </si>
  <si>
    <t>RAW CRUDE OIL</t>
  </si>
  <si>
    <t>Raw Heavy Mass (kg)</t>
  </si>
  <si>
    <t>Diluent Volume</t>
  </si>
  <si>
    <t>Average Density</t>
  </si>
  <si>
    <t>Volume</t>
  </si>
  <si>
    <t>X = DILUENT Volume/(Crude Volume + DILUENT Volume)</t>
  </si>
  <si>
    <t>XX = CRUDE Volume/(CRUDE Volume + Diluent Volume)</t>
  </si>
  <si>
    <t>CRUDE + DILUENT BLEND</t>
  </si>
  <si>
    <t>1/dL</t>
  </si>
  <si>
    <t>1/dH</t>
  </si>
  <si>
    <t>Diluent Required (m3)</t>
  </si>
  <si>
    <t>kg/m3</t>
  </si>
  <si>
    <t>Diluent Mass (kg)</t>
  </si>
  <si>
    <t>Diluent as % of Blend</t>
  </si>
  <si>
    <t>OIL:</t>
  </si>
  <si>
    <t>Shrinkage as % of Blend</t>
  </si>
  <si>
    <t>dL</t>
  </si>
  <si>
    <t xml:space="preserve"> = Density of Light</t>
  </si>
  <si>
    <t>dH</t>
  </si>
  <si>
    <t xml:space="preserve"> = Density of Heavy</t>
  </si>
  <si>
    <t>Volume After Shrinkage</t>
  </si>
  <si>
    <t>X</t>
  </si>
  <si>
    <t xml:space="preserve"> = % concentraion of Diluent.   (i.e., Diluent percentage of total blend).</t>
  </si>
  <si>
    <t>Density After Shrinkage</t>
  </si>
  <si>
    <t>XX</t>
  </si>
  <si>
    <t xml:space="preserve"> = % concentraion of Crude.   (i.e., Crude percentage of total blend).</t>
  </si>
  <si>
    <t>SCENARIO #1 - FINANCIAL RESULTS:</t>
  </si>
  <si>
    <t>% Inject</t>
  </si>
  <si>
    <t>Raw Crude:</t>
  </si>
  <si>
    <t>C4:</t>
  </si>
  <si>
    <t>Blend (B4 Shrinkage):</t>
  </si>
  <si>
    <t>Estimated Shrinkage:</t>
  </si>
  <si>
    <t>NET BLEND:</t>
  </si>
  <si>
    <t>$Cdn/m3</t>
  </si>
  <si>
    <t>$Cdn</t>
  </si>
  <si>
    <t>SALE OF NET BLEND:</t>
  </si>
  <si>
    <t>C5+Cost:</t>
  </si>
  <si>
    <t>C4 Cost:</t>
  </si>
  <si>
    <t>C5+ Transportation:</t>
  </si>
  <si>
    <t>Blend Transportation:</t>
  </si>
  <si>
    <t>Blend Revenue:</t>
  </si>
  <si>
    <t>Loss Allowance:</t>
  </si>
  <si>
    <t>Total Diluent Costs:</t>
  </si>
  <si>
    <t>Transportation:</t>
  </si>
  <si>
    <t>C5+ Transporation Costs:</t>
  </si>
  <si>
    <t>BLEND Tariff &amp; L/A Costs:</t>
  </si>
  <si>
    <t>NET:</t>
  </si>
  <si>
    <t>m3 Raw Crude Production:</t>
  </si>
  <si>
    <t>Net Price Recived per m3 Raw Crude:</t>
  </si>
  <si>
    <t xml:space="preserve">$Cdn/m3 </t>
  </si>
  <si>
    <t>Check</t>
  </si>
  <si>
    <t>$Cdn/bbl</t>
  </si>
  <si>
    <t>$US/bbl</t>
  </si>
  <si>
    <t>Net Price EXPRESSED AS;   Diff to WTI:</t>
  </si>
  <si>
    <t>Net Price EXPRESSED AS;   DIFF to WCS:</t>
  </si>
  <si>
    <t>VARIANCE ANALYSIS:</t>
  </si>
  <si>
    <t>NET FINANCIAL BENEFIT</t>
  </si>
  <si>
    <t>REDUCTION</t>
  </si>
  <si>
    <t>SAVINGS</t>
  </si>
  <si>
    <t>NET FINANCIAL BENEFIT:</t>
  </si>
  <si>
    <t>CHV INDEX ($US/bbl):</t>
  </si>
  <si>
    <t>CRW Condensate Density</t>
  </si>
  <si>
    <t>FSK Condensate Density</t>
  </si>
  <si>
    <t>FSK Condensate Sulphur</t>
  </si>
  <si>
    <t>%Swt</t>
  </si>
  <si>
    <t>Diluent Fee per m3 of Raw Heavy:</t>
  </si>
  <si>
    <t>Net Price Recived per m3 Raw Heavy Crude:</t>
  </si>
  <si>
    <t>m3 Blended Sales Crude Production:</t>
  </si>
  <si>
    <t>Net Price Recived per m3 Blended Sales Crude:</t>
  </si>
  <si>
    <t>Rainbow Interface %</t>
  </si>
  <si>
    <t>Diluent Fee per m3 of Blended Crude:</t>
  </si>
  <si>
    <t>Cooling Surcharge</t>
  </si>
  <si>
    <t>N40 Additional</t>
  </si>
  <si>
    <t>INPUTS</t>
  </si>
  <si>
    <t>Nipisi North Truck Terminal (Rainbow P/L)</t>
  </si>
  <si>
    <t>Nipisi South Truck Terminal (Nipisi P/L)</t>
  </si>
  <si>
    <t>Mitsue Truck Terminal (Nipisi P/L)</t>
  </si>
  <si>
    <t>Nipisi Pipeline Charges</t>
  </si>
  <si>
    <t>mgOH</t>
  </si>
  <si>
    <t>RP2 Condensate Density</t>
  </si>
  <si>
    <t>Diluent Fee per M3 of Raw Crude</t>
  </si>
  <si>
    <t>Diluent Fee per M3 of Blended Crude</t>
  </si>
  <si>
    <t xml:space="preserve">Density of Condensate (RP2 C5+) = </t>
  </si>
  <si>
    <t>Premium/Discount (USD/BBL)</t>
  </si>
  <si>
    <t>Heavy Blend in Rainbow Nipisi Storage</t>
  </si>
  <si>
    <t>Heavy Blend in Gibsons Storage</t>
  </si>
  <si>
    <t>C5 RP2 Edm-Nipisi Toll:</t>
  </si>
  <si>
    <t>FSK Condensate Truck Unload</t>
  </si>
  <si>
    <t>FSK Condensate Transport (Utikuma/Nipisi-South)</t>
  </si>
  <si>
    <t>FSK Condensate Transport (Mitsue)</t>
  </si>
  <si>
    <t>CWH</t>
  </si>
  <si>
    <t>Utikuma Diluent Sharing</t>
  </si>
  <si>
    <t>Financial Benefit from Physical Diluent Optimization</t>
  </si>
  <si>
    <t>Blended Crude Netback Comparison</t>
  </si>
  <si>
    <t>% WTI</t>
  </si>
  <si>
    <t>Producer</t>
  </si>
  <si>
    <t>Spur</t>
  </si>
  <si>
    <t>Tamarack</t>
  </si>
  <si>
    <t>Obsidian</t>
  </si>
  <si>
    <t>Baytex</t>
  </si>
  <si>
    <t>Headwater</t>
  </si>
  <si>
    <t>Customer Producers</t>
  </si>
  <si>
    <t>Butane Injection</t>
  </si>
  <si>
    <t>C4/Raw %</t>
  </si>
  <si>
    <t>Condensate Only - Paper Blend</t>
  </si>
  <si>
    <t>API 12.3 Sec.5.3</t>
  </si>
  <si>
    <t>Condensate Only - Net Sales Calculation</t>
  </si>
  <si>
    <t>Butane (Primary) &amp; Condensate (Secondary) - Physical Blend</t>
  </si>
  <si>
    <t>Butane &amp; Condensate - Net Sales Calculation</t>
  </si>
  <si>
    <t>% of Raw</t>
  </si>
  <si>
    <t>Diluent Optimization Benefit - ESTIMATED (NO CRUDE VISCOSITY DATA)</t>
  </si>
  <si>
    <t xml:space="preserve">API 12.3 Sec.5.3 </t>
  </si>
  <si>
    <t>Producer Raw Crude Volume</t>
  </si>
  <si>
    <t>2024 CHV Blended Density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</si>
  <si>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</si>
  <si>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</si>
  <si>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</si>
  <si>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</si>
  <si>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</si>
  <si>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</si>
  <si>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</si>
  <si>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</si>
  <si>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</si>
  <si>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</si>
  <si>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2025 CWH Blended Density</t>
  </si>
  <si>
    <t>Nov</t>
  </si>
  <si>
    <t>Dec</t>
  </si>
  <si>
    <t>Nipisi Pipeline L/A</t>
  </si>
  <si>
    <t>Rainbow Pipeline L/A</t>
  </si>
  <si>
    <t>2023 CHV Blended Density</t>
  </si>
  <si>
    <t>CHV Stream Blended Density Historicals</t>
  </si>
  <si>
    <t>Producer Raw Crude TAN</t>
  </si>
  <si>
    <t>C4 Landed Price (not included Transportation)</t>
  </si>
  <si>
    <t>Pricing Month</t>
  </si>
  <si>
    <t>Month of the Year</t>
  </si>
  <si>
    <t>January</t>
  </si>
  <si>
    <t>February</t>
  </si>
  <si>
    <t>March</t>
  </si>
  <si>
    <t>April</t>
  </si>
  <si>
    <t>August</t>
  </si>
  <si>
    <t>September</t>
  </si>
  <si>
    <t>October</t>
  </si>
  <si>
    <t>November</t>
  </si>
  <si>
    <t>December</t>
  </si>
  <si>
    <t>Spur Monthly Paper Blend Density (350cSt)</t>
  </si>
  <si>
    <t>Alternative Formula</t>
  </si>
  <si>
    <t>Terminal Fee (2025$)</t>
  </si>
  <si>
    <t>Trucking Cost (CAD/M3 Raw)</t>
  </si>
  <si>
    <t>Truck Volume (M3 Raw/Load)</t>
  </si>
  <si>
    <t>Diluent Cost</t>
  </si>
  <si>
    <t>Diluent COST per m3 of Blended Crude:</t>
  </si>
  <si>
    <t>L/A per Blended M3</t>
  </si>
  <si>
    <t>Raw Crude Net Price EXPRESSED AS DIFF to WCS:</t>
  </si>
  <si>
    <t>Raw Crude Net Price EXPRESSED AS Diff to WTI:</t>
  </si>
  <si>
    <t>Diluent Fee per m3 of Raw Crude:</t>
  </si>
  <si>
    <t>Blended Crude Density to get to 350cSt (Paper Blend Target)</t>
  </si>
  <si>
    <t>Actual Blended Crude Density (Actual Blend Target)</t>
  </si>
  <si>
    <t>C5 Only Target Blend 350cSt</t>
  </si>
  <si>
    <t>Historical Actual Blend</t>
  </si>
  <si>
    <t>Spur Historical Physical Blended Crude (KG/M3)</t>
  </si>
  <si>
    <t>Spur Blended Crude Density to get to 350cSt (Paper Blend Target)</t>
  </si>
  <si>
    <t>Tamarack Blended Crude Density to get to 350cSt (Paper Blend Target)</t>
  </si>
  <si>
    <t>Obisidan Blended Crude Density to get to 350cSt (Paper Blend Target)</t>
  </si>
  <si>
    <t>Spur Raw Crude Density</t>
  </si>
  <si>
    <t>Raw Crude Density (KG/M3)</t>
  </si>
  <si>
    <t>Blended Crude Target Density (KG/M3)</t>
  </si>
  <si>
    <t>Raw Crude Sulphur (%)</t>
  </si>
  <si>
    <t>Raw Crude TAN</t>
  </si>
  <si>
    <t>Condensate Density (KG/M3)</t>
  </si>
  <si>
    <t>Pipeline L/A</t>
  </si>
  <si>
    <t>Storage L/A</t>
  </si>
  <si>
    <t xml:space="preserve">Pipeline L/A </t>
  </si>
  <si>
    <t>Marten Hills P/L (Rainbow P/L)</t>
  </si>
  <si>
    <t>Blend (pre-Shrinkage):</t>
  </si>
  <si>
    <t>Diluent Cost per M3 of Blended Crude</t>
  </si>
  <si>
    <t>Spur Historical Monthly Blend Density Target (Actual Physical)</t>
  </si>
  <si>
    <t>RP2 C5+</t>
  </si>
  <si>
    <t>Gibsons P/L Toll</t>
  </si>
  <si>
    <t>C5 ENB Terminalling</t>
  </si>
  <si>
    <t>Pipeline Terminal Fee</t>
  </si>
  <si>
    <t>Pipeline Tariff</t>
  </si>
  <si>
    <t>Storage Fee</t>
  </si>
  <si>
    <t>WCS Blend Density History</t>
  </si>
  <si>
    <t>2023 WCS Blended Density</t>
  </si>
  <si>
    <t>2024 WCS Blended Density</t>
  </si>
  <si>
    <t>2025 WCS Blended Density</t>
  </si>
  <si>
    <t>Gibsons Edmonton (CHV Pricing)</t>
  </si>
  <si>
    <t>Flint Hills Hardisty (WCS Pricing)</t>
  </si>
  <si>
    <t>WCS Density</t>
  </si>
  <si>
    <t>Kingston Sharing %</t>
  </si>
  <si>
    <t>Spur MH Battery (Rainbow P/L)</t>
  </si>
  <si>
    <t>Feeder P/L Tariff (2025$)</t>
  </si>
  <si>
    <t>Infield Storage/Tank Costs (2025$)</t>
  </si>
  <si>
    <t>Edm Storage L/A</t>
  </si>
  <si>
    <t>Utikuma North TT Location Factor</t>
  </si>
  <si>
    <t>FSK Condensate Transport (UtikumaNorth)</t>
  </si>
  <si>
    <t>Utikuma North Truck Terminal (Nipisi P/L)</t>
  </si>
  <si>
    <t>Utikuma South Truck Terminal (Nipisi P/L)</t>
  </si>
  <si>
    <t>Condensate Trucking (KeyeraFortSask)</t>
  </si>
  <si>
    <t>Spur Raw Crude (Clean Only) Trucking (NipisiNorthHwy88)</t>
  </si>
  <si>
    <t>Trucking Cost (CAD/M3 C5+)</t>
  </si>
  <si>
    <t>Raw Crude Trucking Cost</t>
  </si>
  <si>
    <t>Utikuma South Terminal Fee</t>
  </si>
  <si>
    <t>Utikuma North Terminal Pembina Power Surcharge</t>
  </si>
  <si>
    <t>Utikuma North Terminal Fee</t>
  </si>
  <si>
    <t>Mainline Toll (2025$)</t>
  </si>
  <si>
    <t>Transportation Charges Summary</t>
  </si>
  <si>
    <t>Utikuma North Terminal and South Terminal Variable Comparison</t>
  </si>
  <si>
    <t>Raw Crude (KG/M3)</t>
  </si>
  <si>
    <t>Landed Butane (%)</t>
  </si>
  <si>
    <t>Paper Condensate (M3)</t>
  </si>
  <si>
    <t>Paper Net Blend (M3)</t>
  </si>
  <si>
    <t>Difference</t>
  </si>
  <si>
    <t>Paper C5+ Transportation ($/M3)</t>
  </si>
  <si>
    <t>Paper Blend Transportation ($/M3)</t>
  </si>
  <si>
    <t>Paper Diluent Fee ($/M3)</t>
  </si>
  <si>
    <t>Paper Net Price ($/M3 Raw Crude)</t>
  </si>
  <si>
    <t>Physical Condensate (M3)</t>
  </si>
  <si>
    <t>Physical Net Blend (M3)</t>
  </si>
  <si>
    <t>Physical C5+ Transportation ($/M3)</t>
  </si>
  <si>
    <t>Physical Blend Transportation ($/M3)</t>
  </si>
  <si>
    <t>Physical Net Price ($/M3 Raw Crude)</t>
  </si>
  <si>
    <t>Physical Diluent Fee ($/M3)</t>
  </si>
  <si>
    <t>Paper Target Density (KG/M3)</t>
  </si>
  <si>
    <t>Physical Target Density (KG/M3)</t>
  </si>
  <si>
    <t>Physical Butane (M3)</t>
  </si>
  <si>
    <t>Measured as a function of product cost plus transportation cost divided by Net Blend</t>
  </si>
  <si>
    <t>Landed Butane (USD/BBL)</t>
  </si>
  <si>
    <t>Butane Trucking (KeyeraFortSask)</t>
  </si>
  <si>
    <t>Trucking Cost (CAD/M3 C4)</t>
  </si>
  <si>
    <t>VOF (Power+Extra)</t>
  </si>
  <si>
    <t>Utikuma Difference (CAD/M3)</t>
  </si>
  <si>
    <t>Mitsue Diluent Sharing</t>
  </si>
  <si>
    <t>Netback (CAD/M3 Blend)</t>
  </si>
  <si>
    <t>Netback (CAD/M3 Raw)</t>
  </si>
  <si>
    <t>Measured as a function of product cost plus transportation cost divided by Net Blend, but missing cost of Pembina transportation for diluent</t>
  </si>
  <si>
    <t>Netback Summary (CAD/M3 Blended Volume)</t>
  </si>
  <si>
    <t>The difference between the Netback Summary and the Model Summary of Physical Netback CAD per M3 Raw Crude, is that the Netback Summary includes the Raw Crude Trucking - from the point of reference - and the financial benefit for the purpose of comparison only and is not a true measure of the actual financial netback during ops.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</si>
</sst>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_-&quot;$&quot;* #,##0_-;\-&quot;$&quot;* #,##0_-;_-&quot;$&quot;* &quot;-&quot;??_-;_-@_-"/>
    <numFmt numFmtId="166" formatCode="_-* #,##0.0_-;\-* #,##0.0_-;_-* &quot;-&quot;??_-;_-@_-"/>
    <numFmt numFmtId="167" formatCode="_(&quot;$&quot;* #,##0.00_);_(&quot;$&quot;* \(#,##0.00\);_(&quot;$&quot;* &quot;-&quot;??_);_(@_)"/>
    <numFmt numFmtId="168" formatCode="[$-409]mmm/yy;@"/>
    <numFmt numFmtId="169" formatCode="0.0000"/>
    <numFmt numFmtId="170" formatCode="0.0%"/>
    <numFmt numFmtId="171" formatCode="0.00_);\(0.00\)"/>
    <numFmt numFmtId="172" formatCode="0.00000"/>
    <numFmt numFmtId="173" formatCode="_(&quot;$&quot;* #,##0.0000_);_(&quot;$&quot;* \(#,##0.0000\);_(&quot;$&quot;* &quot;-&quot;??_);_(@_)"/>
    <numFmt numFmtId="174" formatCode="0.000"/>
    <numFmt numFmtId="175" formatCode="0.0_);\(0.0\)"/>
    <numFmt numFmtId="176" formatCode="#,##0.0"/>
    <numFmt numFmtId="177" formatCode="0.0000000"/>
    <numFmt numFmtId="178" formatCode="_(&quot;$&quot;* #,##0_);_(&quot;$&quot;* \(#,##0\);_(&quot;$&quot;* &quot;-&quot;??_);_(@_)"/>
    <numFmt numFmtId="179" formatCode="&quot;$&quot;#,##0.00"/>
    <numFmt numFmtId="180" formatCode="&quot;$&quot;#,##0.00_);\(&quot;$&quot;#,##0.00\)"/>
    <numFmt numFmtId="181" formatCode="0.000000"/>
    <numFmt numFmtId="182" formatCode="0.000_)"/>
    <numFmt numFmtId="183" formatCode="#,##0.0000"/>
    <numFmt numFmtId="184" formatCode="_(* #,##0.00_);_(* \(#,##0.00\);_(* &quot;-&quot;??_);_(@_)"/>
    <numFmt numFmtId="185" formatCode="_-&quot;$&quot;* #,##0.0000_-;\-&quot;$&quot;* #,##0.0000_-;_-&quot;$&quot;* &quot;-&quot;??_-;_-@_-"/>
    <numFmt numFmtId="186" formatCode="0.000000_)"/>
    <numFmt numFmtId="187" formatCode="#,##0.0_);\(#,##0.0\)"/>
    <numFmt numFmtId="188" formatCode="#,##0.0_);[Red]\(#,##0.0\)"/>
    <numFmt numFmtId="189" formatCode="0.000%"/>
    <numFmt numFmtId="190" formatCode="0.0_);[Red]\(0.0\)"/>
    <numFmt numFmtId="191" formatCode="0.00_);[Red]\(0.00\)"/>
    <numFmt numFmtId="192" formatCode="_-* #,##0_-;\-* #,##0_-;_-* &quot;-&quot;??_-;_-@_-"/>
    <numFmt numFmtId="193" formatCode="0.00000%"/>
    <numFmt numFmtId="194" formatCode="mmmm"/>
    <numFmt numFmtId="195" formatCode="0.000_);[Red]\(0.000\)"/>
    <numFmt numFmtId="196" formatCode="_-&quot;$&quot;* #,##0.0_-;\-&quot;$&quot;* #,##0.0_-;_-&quot;$&quot;* &quot;-&quot;??_-;_-@_-"/>
    <numFmt numFmtId="197" formatCode="_(&quot;$&quot;* #,##0.00000_);_(&quot;$&quot;* \(#,##0.00000\);_(&quot;$&quot;* &quot;-&quot;??_);_(@_)"/>
  </numFmts>
  <fonts count="5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Helv"/>
    </font>
    <font>
      <u/>
      <sz val="10"/>
      <color indexed="12"/>
      <name val="Arial"/>
      <family val="2"/>
    </font>
    <font>
      <sz val="12"/>
      <name val="Arial"/>
      <family val="2"/>
    </font>
    <font>
      <sz val="20"/>
      <name val="Arial"/>
      <family val="2"/>
    </font>
    <font>
      <sz val="2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b/>
      <sz val="8"/>
      <color theme="3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8"/>
      <color rgb="FF4E586A"/>
      <name val="Segoe UI"/>
      <family val="2"/>
    </font>
    <font>
      <sz val="10"/>
      <name val="Calibri"/>
      <family val="2"/>
    </font>
    <font>
      <b/>
      <sz val="10"/>
      <color rgb="FFFF0000"/>
      <name val="Arial"/>
      <family val="2"/>
    </font>
    <font>
      <b/>
      <sz val="10"/>
      <color rgb="FF000000"/>
      <name val="Segoe UI"/>
      <family val="2"/>
    </font>
    <font>
      <b/>
      <sz val="12"/>
      <color indexed="32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b/>
      <sz val="20"/>
      <color theme="0"/>
      <name val="Arial"/>
      <family val="2"/>
    </font>
    <font>
      <b/>
      <sz val="16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0"/>
      <name val="Aptos Narrow"/>
      <family val="2"/>
      <scheme val="minor"/>
    </font>
    <font>
      <i/>
      <sz val="10"/>
      <color theme="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4"/>
      <color rgb="FFFF0000"/>
      <name val="Arial"/>
      <family val="2"/>
    </font>
    <font>
      <b/>
      <sz val="11"/>
      <color rgb="FF0000FF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name val="Arial"/>
      <family val="2"/>
    </font>
    <font>
      <i/>
      <sz val="10"/>
      <name val="Arial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39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7" fillId="0" borderId="0"/>
    <xf numFmtId="0" fontId="17" fillId="0" borderId="0"/>
    <xf numFmtId="167" fontId="1" fillId="0" borderId="0" applyFont="0" applyFill="0" applyBorder="0" applyAlignment="0" applyProtection="0"/>
    <xf numFmtId="0" fontId="1" fillId="0" borderId="0"/>
    <xf numFmtId="18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0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Border="1"/>
    <xf numFmtId="44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44" fontId="0" fillId="0" borderId="0" xfId="1" applyFont="1"/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44" fontId="0" fillId="5" borderId="0" xfId="1" applyFont="1" applyFill="1"/>
    <xf numFmtId="44" fontId="0" fillId="6" borderId="0" xfId="0" applyNumberFormat="1" applyFill="1"/>
    <xf numFmtId="166" fontId="0" fillId="0" borderId="0" xfId="2" applyNumberFormat="1" applyFont="1"/>
    <xf numFmtId="17" fontId="0" fillId="0" borderId="0" xfId="0" applyNumberFormat="1" applyAlignment="1">
      <alignment horizontal="center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167" fontId="0" fillId="0" borderId="0" xfId="1" applyNumberFormat="1" applyFont="1" applyBorder="1"/>
    <xf numFmtId="167" fontId="0" fillId="0" borderId="0" xfId="1" applyNumberFormat="1" applyFont="1" applyFill="1" applyBorder="1"/>
    <xf numFmtId="167" fontId="0" fillId="0" borderId="0" xfId="1" applyNumberFormat="1" applyFont="1" applyBorder="1" applyAlignment="1">
      <alignment horizontal="center"/>
    </xf>
    <xf numFmtId="167" fontId="0" fillId="4" borderId="0" xfId="1" applyNumberFormat="1" applyFont="1" applyFill="1" applyBorder="1"/>
    <xf numFmtId="167" fontId="0" fillId="0" borderId="7" xfId="0" applyNumberForma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 wrapText="1"/>
    </xf>
    <xf numFmtId="44" fontId="0" fillId="0" borderId="0" xfId="1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44" fontId="0" fillId="2" borderId="0" xfId="1" applyFont="1" applyFill="1" applyAlignment="1">
      <alignment horizontal="center" wrapText="1"/>
    </xf>
    <xf numFmtId="44" fontId="0" fillId="0" borderId="0" xfId="1" applyFont="1" applyFill="1"/>
    <xf numFmtId="173" fontId="0" fillId="0" borderId="0" xfId="1" applyNumberFormat="1" applyFont="1" applyFill="1" applyBorder="1"/>
    <xf numFmtId="174" fontId="0" fillId="0" borderId="0" xfId="0" applyNumberFormat="1"/>
    <xf numFmtId="174" fontId="9" fillId="0" borderId="0" xfId="7" applyNumberFormat="1" applyAlignment="1" applyProtection="1"/>
    <xf numFmtId="0" fontId="10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7" fillId="0" borderId="0" xfId="0" applyFont="1"/>
    <xf numFmtId="0" fontId="18" fillId="7" borderId="9" xfId="0" applyFont="1" applyFill="1" applyBorder="1" applyAlignment="1">
      <alignment horizontal="right"/>
    </xf>
    <xf numFmtId="0" fontId="18" fillId="7" borderId="11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/>
    </xf>
    <xf numFmtId="9" fontId="0" fillId="0" borderId="0" xfId="8" applyFont="1"/>
    <xf numFmtId="0" fontId="16" fillId="0" borderId="0" xfId="0" applyFont="1"/>
    <xf numFmtId="17" fontId="16" fillId="0" borderId="20" xfId="0" applyNumberFormat="1" applyFont="1" applyBorder="1"/>
    <xf numFmtId="0" fontId="18" fillId="0" borderId="13" xfId="0" applyFont="1" applyBorder="1" applyAlignment="1">
      <alignment horizontal="right"/>
    </xf>
    <xf numFmtId="175" fontId="18" fillId="2" borderId="14" xfId="2" applyNumberFormat="1" applyFont="1" applyFill="1" applyBorder="1"/>
    <xf numFmtId="175" fontId="18" fillId="0" borderId="14" xfId="2" applyNumberFormat="1" applyFont="1" applyFill="1" applyBorder="1"/>
    <xf numFmtId="2" fontId="16" fillId="0" borderId="20" xfId="0" applyNumberFormat="1" applyFont="1" applyBorder="1"/>
    <xf numFmtId="0" fontId="16" fillId="0" borderId="0" xfId="0" applyFont="1" applyAlignment="1">
      <alignment horizontal="right"/>
    </xf>
    <xf numFmtId="176" fontId="16" fillId="0" borderId="21" xfId="0" applyNumberFormat="1" applyFont="1" applyBorder="1"/>
    <xf numFmtId="171" fontId="18" fillId="2" borderId="14" xfId="2" applyNumberFormat="1" applyFont="1" applyFill="1" applyBorder="1"/>
    <xf numFmtId="2" fontId="16" fillId="0" borderId="21" xfId="0" applyNumberFormat="1" applyFont="1" applyBorder="1"/>
    <xf numFmtId="44" fontId="18" fillId="0" borderId="14" xfId="1" applyFont="1" applyFill="1" applyBorder="1"/>
    <xf numFmtId="4" fontId="16" fillId="0" borderId="21" xfId="0" applyNumberFormat="1" applyFont="1" applyBorder="1"/>
    <xf numFmtId="164" fontId="0" fillId="0" borderId="0" xfId="0" applyNumberFormat="1"/>
    <xf numFmtId="176" fontId="16" fillId="0" borderId="0" xfId="0" applyNumberFormat="1" applyFont="1"/>
    <xf numFmtId="44" fontId="20" fillId="0" borderId="14" xfId="1" applyFont="1" applyFill="1" applyBorder="1"/>
    <xf numFmtId="176" fontId="0" fillId="0" borderId="0" xfId="0" applyNumberFormat="1"/>
    <xf numFmtId="44" fontId="18" fillId="8" borderId="14" xfId="1" applyFont="1" applyFill="1" applyBorder="1"/>
    <xf numFmtId="2" fontId="0" fillId="0" borderId="0" xfId="0" applyNumberFormat="1"/>
    <xf numFmtId="171" fontId="18" fillId="8" borderId="14" xfId="2" applyNumberFormat="1" applyFont="1" applyFill="1" applyBorder="1"/>
    <xf numFmtId="177" fontId="0" fillId="0" borderId="0" xfId="0" applyNumberFormat="1"/>
    <xf numFmtId="0" fontId="0" fillId="0" borderId="0" xfId="0" applyAlignment="1">
      <alignment horizontal="right"/>
    </xf>
    <xf numFmtId="43" fontId="0" fillId="0" borderId="0" xfId="2" applyFont="1"/>
    <xf numFmtId="10" fontId="18" fillId="0" borderId="0" xfId="0" applyNumberFormat="1" applyFont="1"/>
    <xf numFmtId="4" fontId="0" fillId="0" borderId="0" xfId="0" applyNumberFormat="1"/>
    <xf numFmtId="0" fontId="20" fillId="0" borderId="22" xfId="0" applyFont="1" applyBorder="1" applyAlignment="1">
      <alignment horizontal="right"/>
    </xf>
    <xf numFmtId="44" fontId="20" fillId="0" borderId="23" xfId="1" applyFont="1" applyFill="1" applyBorder="1"/>
    <xf numFmtId="0" fontId="21" fillId="0" borderId="0" xfId="0" applyFont="1"/>
    <xf numFmtId="0" fontId="21" fillId="0" borderId="0" xfId="0" applyFont="1" applyAlignment="1">
      <alignment horizontal="right"/>
    </xf>
    <xf numFmtId="169" fontId="0" fillId="0" borderId="0" xfId="0" applyNumberForma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78" fontId="0" fillId="0" borderId="0" xfId="9" applyNumberFormat="1" applyFont="1" applyFill="1" applyBorder="1"/>
    <xf numFmtId="178" fontId="17" fillId="0" borderId="0" xfId="9" applyNumberFormat="1" applyFont="1" applyFill="1" applyBorder="1" applyAlignment="1">
      <alignment horizontal="center"/>
    </xf>
    <xf numFmtId="179" fontId="0" fillId="0" borderId="0" xfId="0" applyNumberFormat="1"/>
    <xf numFmtId="0" fontId="23" fillId="0" borderId="0" xfId="0" applyFont="1"/>
    <xf numFmtId="0" fontId="17" fillId="0" borderId="0" xfId="0" applyFont="1" applyAlignment="1">
      <alignment horizontal="left"/>
    </xf>
    <xf numFmtId="44" fontId="17" fillId="0" borderId="0" xfId="1" applyFont="1" applyFill="1" applyAlignment="1" applyProtection="1"/>
    <xf numFmtId="0" fontId="0" fillId="0" borderId="0" xfId="0" quotePrefix="1" applyAlignment="1">
      <alignment horizontal="center"/>
    </xf>
    <xf numFmtId="0" fontId="24" fillId="0" borderId="0" xfId="0" applyFont="1" applyAlignment="1">
      <alignment horizontal="centerContinuous"/>
    </xf>
    <xf numFmtId="0" fontId="25" fillId="0" borderId="0" xfId="0" applyFont="1" applyAlignment="1">
      <alignment vertical="center"/>
    </xf>
    <xf numFmtId="0" fontId="17" fillId="0" borderId="0" xfId="0" quotePrefix="1" applyFont="1" applyAlignment="1">
      <alignment horizontal="right"/>
    </xf>
    <xf numFmtId="44" fontId="17" fillId="2" borderId="0" xfId="1" applyFont="1" applyFill="1" applyAlignment="1" applyProtection="1"/>
    <xf numFmtId="0" fontId="26" fillId="0" borderId="0" xfId="0" applyFont="1" applyAlignment="1">
      <alignment vertical="center"/>
    </xf>
    <xf numFmtId="0" fontId="27" fillId="0" borderId="0" xfId="0" applyFont="1"/>
    <xf numFmtId="0" fontId="21" fillId="0" borderId="0" xfId="0" applyFont="1" applyAlignment="1">
      <alignment horizontal="left"/>
    </xf>
    <xf numFmtId="0" fontId="16" fillId="0" borderId="0" xfId="0" applyFont="1" applyAlignment="1">
      <alignment horizontal="centerContinuous"/>
    </xf>
    <xf numFmtId="167" fontId="24" fillId="0" borderId="0" xfId="9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28" fillId="0" borderId="0" xfId="0" applyFont="1" applyAlignment="1">
      <alignment vertical="center"/>
    </xf>
    <xf numFmtId="180" fontId="17" fillId="0" borderId="0" xfId="9" applyNumberFormat="1" applyFont="1" applyFill="1" applyAlignment="1" applyProtection="1"/>
    <xf numFmtId="0" fontId="24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167" fontId="0" fillId="0" borderId="0" xfId="9" applyFont="1"/>
    <xf numFmtId="164" fontId="29" fillId="0" borderId="0" xfId="0" applyNumberFormat="1" applyFont="1" applyAlignment="1">
      <alignment horizontal="right"/>
    </xf>
    <xf numFmtId="181" fontId="0" fillId="0" borderId="0" xfId="0" applyNumberFormat="1"/>
    <xf numFmtId="164" fontId="29" fillId="0" borderId="0" xfId="0" applyNumberFormat="1" applyFont="1"/>
    <xf numFmtId="167" fontId="17" fillId="9" borderId="1" xfId="9" applyFont="1" applyFill="1" applyBorder="1" applyAlignment="1" applyProtection="1">
      <alignment horizontal="right"/>
    </xf>
    <xf numFmtId="181" fontId="21" fillId="9" borderId="3" xfId="0" applyNumberFormat="1" applyFont="1" applyFill="1" applyBorder="1"/>
    <xf numFmtId="167" fontId="17" fillId="9" borderId="6" xfId="9" applyFont="1" applyFill="1" applyBorder="1" applyAlignment="1" applyProtection="1">
      <alignment horizontal="right"/>
    </xf>
    <xf numFmtId="181" fontId="21" fillId="9" borderId="8" xfId="0" applyNumberFormat="1" applyFont="1" applyFill="1" applyBorder="1"/>
    <xf numFmtId="182" fontId="0" fillId="0" borderId="0" xfId="0" applyNumberFormat="1"/>
    <xf numFmtId="4" fontId="30" fillId="0" borderId="0" xfId="0" applyNumberFormat="1" applyFont="1" applyAlignment="1">
      <alignment horizontal="right"/>
    </xf>
    <xf numFmtId="4" fontId="30" fillId="0" borderId="0" xfId="0" applyNumberFormat="1" applyFont="1"/>
    <xf numFmtId="0" fontId="13" fillId="0" borderId="0" xfId="0" applyFont="1"/>
    <xf numFmtId="44" fontId="10" fillId="3" borderId="0" xfId="1" applyFont="1" applyFill="1"/>
    <xf numFmtId="176" fontId="30" fillId="0" borderId="0" xfId="0" applyNumberFormat="1" applyFont="1"/>
    <xf numFmtId="44" fontId="0" fillId="0" borderId="0" xfId="1" applyFont="1" applyAlignment="1">
      <alignment horizontal="center"/>
    </xf>
    <xf numFmtId="183" fontId="30" fillId="0" borderId="0" xfId="0" applyNumberFormat="1" applyFont="1" applyAlignment="1">
      <alignment horizontal="right"/>
    </xf>
    <xf numFmtId="184" fontId="21" fillId="10" borderId="0" xfId="9" applyNumberFormat="1" applyFont="1" applyFill="1" applyAlignment="1" applyProtection="1">
      <alignment horizontal="center"/>
    </xf>
    <xf numFmtId="174" fontId="17" fillId="0" borderId="0" xfId="0" applyNumberFormat="1" applyFont="1" applyAlignment="1">
      <alignment horizontal="center"/>
    </xf>
    <xf numFmtId="167" fontId="21" fillId="0" borderId="0" xfId="9" applyFont="1" applyFill="1"/>
    <xf numFmtId="164" fontId="16" fillId="0" borderId="20" xfId="0" applyNumberFormat="1" applyFont="1" applyBorder="1"/>
    <xf numFmtId="176" fontId="16" fillId="0" borderId="20" xfId="0" applyNumberFormat="1" applyFont="1" applyBorder="1"/>
    <xf numFmtId="0" fontId="19" fillId="0" borderId="0" xfId="0" applyFont="1"/>
    <xf numFmtId="185" fontId="18" fillId="0" borderId="14" xfId="1" applyNumberFormat="1" applyFont="1" applyFill="1" applyBorder="1"/>
    <xf numFmtId="168" fontId="18" fillId="0" borderId="9" xfId="6" quotePrefix="1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9" fontId="18" fillId="0" borderId="9" xfId="0" applyNumberFormat="1" applyFont="1" applyBorder="1" applyAlignment="1">
      <alignment horizontal="center"/>
    </xf>
    <xf numFmtId="44" fontId="18" fillId="0" borderId="9" xfId="1" applyFont="1" applyBorder="1" applyAlignment="1">
      <alignment horizontal="center"/>
    </xf>
    <xf numFmtId="167" fontId="18" fillId="0" borderId="9" xfId="0" applyNumberFormat="1" applyFont="1" applyBorder="1" applyAlignment="1">
      <alignment horizontal="center"/>
    </xf>
    <xf numFmtId="44" fontId="18" fillId="0" borderId="10" xfId="1" applyFont="1" applyBorder="1" applyAlignment="1">
      <alignment horizontal="center"/>
    </xf>
    <xf numFmtId="10" fontId="1" fillId="0" borderId="9" xfId="5" applyNumberFormat="1" applyFont="1" applyBorder="1" applyAlignment="1">
      <alignment horizontal="center"/>
    </xf>
    <xf numFmtId="44" fontId="1" fillId="0" borderId="9" xfId="1" applyFont="1" applyBorder="1" applyAlignment="1">
      <alignment horizontal="center"/>
    </xf>
    <xf numFmtId="167" fontId="18" fillId="0" borderId="11" xfId="0" applyNumberFormat="1" applyFont="1" applyBorder="1" applyAlignment="1">
      <alignment horizontal="center"/>
    </xf>
    <xf numFmtId="44" fontId="18" fillId="0" borderId="11" xfId="1" applyFont="1" applyBorder="1" applyAlignment="1">
      <alignment horizontal="center"/>
    </xf>
    <xf numFmtId="170" fontId="18" fillId="0" borderId="9" xfId="5" applyNumberFormat="1" applyFont="1" applyBorder="1" applyAlignment="1">
      <alignment horizontal="center"/>
    </xf>
    <xf numFmtId="170" fontId="18" fillId="2" borderId="12" xfId="5" applyNumberFormat="1" applyFont="1" applyFill="1" applyBorder="1" applyAlignment="1">
      <alignment horizontal="center"/>
    </xf>
    <xf numFmtId="170" fontId="18" fillId="0" borderId="12" xfId="5" applyNumberFormat="1" applyFont="1" applyBorder="1" applyAlignment="1">
      <alignment horizontal="center"/>
    </xf>
    <xf numFmtId="44" fontId="18" fillId="0" borderId="12" xfId="1" applyFont="1" applyBorder="1" applyAlignment="1">
      <alignment horizontal="center"/>
    </xf>
    <xf numFmtId="44" fontId="18" fillId="3" borderId="12" xfId="1" applyFont="1" applyFill="1" applyBorder="1" applyAlignment="1">
      <alignment horizontal="center"/>
    </xf>
    <xf numFmtId="44" fontId="18" fillId="3" borderId="9" xfId="1" applyFont="1" applyFill="1" applyBorder="1" applyAlignment="1">
      <alignment horizontal="center"/>
    </xf>
    <xf numFmtId="2" fontId="18" fillId="3" borderId="12" xfId="0" applyNumberFormat="1" applyFont="1" applyFill="1" applyBorder="1" applyAlignment="1">
      <alignment horizontal="center"/>
    </xf>
    <xf numFmtId="44" fontId="1" fillId="0" borderId="12" xfId="1" applyFont="1" applyBorder="1" applyAlignment="1">
      <alignment horizontal="center"/>
    </xf>
    <xf numFmtId="167" fontId="1" fillId="0" borderId="12" xfId="0" applyNumberFormat="1" applyFont="1" applyBorder="1" applyAlignment="1">
      <alignment horizontal="center"/>
    </xf>
    <xf numFmtId="44" fontId="1" fillId="0" borderId="9" xfId="1" applyFont="1" applyFill="1" applyBorder="1" applyAlignment="1">
      <alignment horizontal="center"/>
    </xf>
    <xf numFmtId="44" fontId="1" fillId="0" borderId="11" xfId="1" applyFont="1" applyFill="1" applyBorder="1" applyAlignment="1">
      <alignment horizontal="center"/>
    </xf>
    <xf numFmtId="167" fontId="1" fillId="0" borderId="11" xfId="0" applyNumberFormat="1" applyFont="1" applyBorder="1" applyAlignment="1">
      <alignment horizontal="center"/>
    </xf>
    <xf numFmtId="9" fontId="1" fillId="0" borderId="9" xfId="5" applyFont="1" applyBorder="1" applyAlignment="1">
      <alignment horizontal="center"/>
    </xf>
    <xf numFmtId="9" fontId="1" fillId="0" borderId="12" xfId="5" applyFont="1" applyBorder="1" applyAlignment="1">
      <alignment horizontal="center"/>
    </xf>
    <xf numFmtId="10" fontId="1" fillId="0" borderId="12" xfId="0" applyNumberFormat="1" applyFont="1" applyBorder="1" applyAlignment="1">
      <alignment horizontal="center"/>
    </xf>
    <xf numFmtId="8" fontId="1" fillId="0" borderId="9" xfId="0" applyNumberFormat="1" applyFont="1" applyBorder="1" applyAlignment="1">
      <alignment horizontal="center"/>
    </xf>
    <xf numFmtId="8" fontId="1" fillId="0" borderId="12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44" fontId="18" fillId="2" borderId="9" xfId="1" applyFont="1" applyFill="1" applyBorder="1" applyAlignment="1">
      <alignment horizontal="center"/>
    </xf>
    <xf numFmtId="167" fontId="18" fillId="2" borderId="9" xfId="0" applyNumberFormat="1" applyFont="1" applyFill="1" applyBorder="1" applyAlignment="1">
      <alignment horizontal="center"/>
    </xf>
    <xf numFmtId="44" fontId="18" fillId="0" borderId="10" xfId="1" applyFont="1" applyFill="1" applyBorder="1" applyAlignment="1">
      <alignment horizontal="center"/>
    </xf>
    <xf numFmtId="44" fontId="18" fillId="0" borderId="9" xfId="1" applyFont="1" applyFill="1" applyBorder="1" applyAlignment="1">
      <alignment horizontal="center"/>
    </xf>
    <xf numFmtId="10" fontId="1" fillId="0" borderId="9" xfId="5" applyNumberFormat="1" applyFont="1" applyFill="1" applyBorder="1" applyAlignment="1">
      <alignment horizontal="center"/>
    </xf>
    <xf numFmtId="167" fontId="1" fillId="2" borderId="12" xfId="0" applyNumberFormat="1" applyFont="1" applyFill="1" applyBorder="1" applyAlignment="1">
      <alignment horizontal="center"/>
    </xf>
    <xf numFmtId="44" fontId="1" fillId="2" borderId="9" xfId="1" applyFont="1" applyFill="1" applyBorder="1" applyAlignment="1">
      <alignment horizontal="center"/>
    </xf>
    <xf numFmtId="44" fontId="1" fillId="0" borderId="12" xfId="1" applyFont="1" applyFill="1" applyBorder="1" applyAlignment="1">
      <alignment horizontal="center"/>
    </xf>
    <xf numFmtId="44" fontId="1" fillId="2" borderId="12" xfId="1" applyFont="1" applyFill="1" applyBorder="1" applyAlignment="1">
      <alignment horizontal="center"/>
    </xf>
    <xf numFmtId="168" fontId="18" fillId="0" borderId="13" xfId="6" quotePrefix="1" applyNumberFormat="1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7" fontId="1" fillId="0" borderId="13" xfId="0" applyNumberFormat="1" applyFont="1" applyBorder="1" applyAlignment="1">
      <alignment horizontal="center"/>
    </xf>
    <xf numFmtId="169" fontId="18" fillId="0" borderId="13" xfId="0" applyNumberFormat="1" applyFont="1" applyBorder="1" applyAlignment="1">
      <alignment horizontal="center"/>
    </xf>
    <xf numFmtId="44" fontId="18" fillId="0" borderId="13" xfId="1" applyFont="1" applyBorder="1" applyAlignment="1">
      <alignment horizontal="center"/>
    </xf>
    <xf numFmtId="167" fontId="18" fillId="0" borderId="13" xfId="0" applyNumberFormat="1" applyFont="1" applyBorder="1" applyAlignment="1">
      <alignment horizontal="center"/>
    </xf>
    <xf numFmtId="44" fontId="18" fillId="0" borderId="0" xfId="1" applyFont="1" applyAlignment="1">
      <alignment horizontal="center"/>
    </xf>
    <xf numFmtId="10" fontId="1" fillId="0" borderId="13" xfId="5" applyNumberFormat="1" applyFont="1" applyBorder="1" applyAlignment="1">
      <alignment horizontal="center"/>
    </xf>
    <xf numFmtId="44" fontId="1" fillId="0" borderId="13" xfId="1" applyFont="1" applyBorder="1" applyAlignment="1">
      <alignment horizontal="center"/>
    </xf>
    <xf numFmtId="167" fontId="18" fillId="0" borderId="14" xfId="0" applyNumberFormat="1" applyFont="1" applyBorder="1" applyAlignment="1">
      <alignment horizontal="center"/>
    </xf>
    <xf numFmtId="44" fontId="18" fillId="0" borderId="14" xfId="1" applyFont="1" applyBorder="1" applyAlignment="1">
      <alignment horizontal="center"/>
    </xf>
    <xf numFmtId="170" fontId="18" fillId="0" borderId="13" xfId="5" applyNumberFormat="1" applyFont="1" applyBorder="1" applyAlignment="1">
      <alignment horizontal="center"/>
    </xf>
    <xf numFmtId="170" fontId="18" fillId="2" borderId="15" xfId="5" applyNumberFormat="1" applyFont="1" applyFill="1" applyBorder="1" applyAlignment="1">
      <alignment horizontal="center"/>
    </xf>
    <xf numFmtId="170" fontId="18" fillId="0" borderId="15" xfId="5" applyNumberFormat="1" applyFont="1" applyBorder="1" applyAlignment="1">
      <alignment horizontal="center"/>
    </xf>
    <xf numFmtId="44" fontId="18" fillId="0" borderId="15" xfId="1" applyFont="1" applyBorder="1" applyAlignment="1">
      <alignment horizontal="center"/>
    </xf>
    <xf numFmtId="44" fontId="18" fillId="3" borderId="15" xfId="1" applyFont="1" applyFill="1" applyBorder="1" applyAlignment="1">
      <alignment horizontal="center"/>
    </xf>
    <xf numFmtId="44" fontId="18" fillId="3" borderId="13" xfId="1" applyFont="1" applyFill="1" applyBorder="1" applyAlignment="1">
      <alignment horizontal="center"/>
    </xf>
    <xf numFmtId="2" fontId="18" fillId="3" borderId="15" xfId="0" applyNumberFormat="1" applyFont="1" applyFill="1" applyBorder="1" applyAlignment="1">
      <alignment horizontal="center"/>
    </xf>
    <xf numFmtId="44" fontId="1" fillId="0" borderId="15" xfId="1" applyFont="1" applyBorder="1" applyAlignment="1">
      <alignment horizontal="center"/>
    </xf>
    <xf numFmtId="44" fontId="1" fillId="0" borderId="13" xfId="1" applyFont="1" applyFill="1" applyBorder="1" applyAlignment="1">
      <alignment horizontal="center"/>
    </xf>
    <xf numFmtId="44" fontId="1" fillId="0" borderId="14" xfId="1" applyFont="1" applyFill="1" applyBorder="1" applyAlignment="1">
      <alignment horizontal="center"/>
    </xf>
    <xf numFmtId="167" fontId="1" fillId="0" borderId="14" xfId="0" applyNumberFormat="1" applyFont="1" applyBorder="1" applyAlignment="1">
      <alignment horizontal="center"/>
    </xf>
    <xf numFmtId="9" fontId="1" fillId="0" borderId="13" xfId="5" applyFont="1" applyBorder="1" applyAlignment="1">
      <alignment horizontal="center"/>
    </xf>
    <xf numFmtId="9" fontId="1" fillId="0" borderId="15" xfId="5" applyFont="1" applyBorder="1" applyAlignment="1">
      <alignment horizontal="center"/>
    </xf>
    <xf numFmtId="10" fontId="1" fillId="0" borderId="15" xfId="0" applyNumberFormat="1" applyFont="1" applyBorder="1" applyAlignment="1">
      <alignment horizontal="center"/>
    </xf>
    <xf numFmtId="167" fontId="1" fillId="0" borderId="15" xfId="0" applyNumberFormat="1" applyFont="1" applyBorder="1" applyAlignment="1">
      <alignment horizontal="center"/>
    </xf>
    <xf numFmtId="8" fontId="1" fillId="0" borderId="13" xfId="0" applyNumberFormat="1" applyFont="1" applyBorder="1" applyAlignment="1">
      <alignment horizontal="center"/>
    </xf>
    <xf numFmtId="8" fontId="1" fillId="0" borderId="15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44" fontId="18" fillId="2" borderId="13" xfId="1" applyFont="1" applyFill="1" applyBorder="1" applyAlignment="1">
      <alignment horizontal="center"/>
    </xf>
    <xf numFmtId="167" fontId="18" fillId="2" borderId="13" xfId="0" applyNumberFormat="1" applyFont="1" applyFill="1" applyBorder="1" applyAlignment="1">
      <alignment horizontal="center"/>
    </xf>
    <xf numFmtId="44" fontId="18" fillId="0" borderId="0" xfId="1" applyFont="1" applyFill="1" applyAlignment="1">
      <alignment horizontal="center"/>
    </xf>
    <xf numFmtId="44" fontId="18" fillId="0" borderId="13" xfId="1" applyFont="1" applyFill="1" applyBorder="1" applyAlignment="1">
      <alignment horizontal="center"/>
    </xf>
    <xf numFmtId="10" fontId="1" fillId="0" borderId="13" xfId="5" applyNumberFormat="1" applyFont="1" applyFill="1" applyBorder="1" applyAlignment="1">
      <alignment horizontal="center"/>
    </xf>
    <xf numFmtId="44" fontId="1" fillId="2" borderId="15" xfId="1" applyFont="1" applyFill="1" applyBorder="1" applyAlignment="1">
      <alignment horizontal="center"/>
    </xf>
    <xf numFmtId="44" fontId="1" fillId="2" borderId="13" xfId="1" applyFont="1" applyFill="1" applyBorder="1" applyAlignment="1">
      <alignment horizontal="center"/>
    </xf>
    <xf numFmtId="44" fontId="1" fillId="0" borderId="15" xfId="1" applyFont="1" applyFill="1" applyBorder="1" applyAlignment="1">
      <alignment horizontal="center"/>
    </xf>
    <xf numFmtId="168" fontId="18" fillId="0" borderId="16" xfId="6" quotePrefix="1" applyNumberFormat="1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167" fontId="1" fillId="0" borderId="16" xfId="0" applyNumberFormat="1" applyFont="1" applyBorder="1" applyAlignment="1">
      <alignment horizontal="center"/>
    </xf>
    <xf numFmtId="169" fontId="18" fillId="0" borderId="16" xfId="0" applyNumberFormat="1" applyFont="1" applyBorder="1" applyAlignment="1">
      <alignment horizontal="center"/>
    </xf>
    <xf numFmtId="44" fontId="18" fillId="0" borderId="16" xfId="1" applyFont="1" applyBorder="1" applyAlignment="1">
      <alignment horizontal="center"/>
    </xf>
    <xf numFmtId="167" fontId="18" fillId="0" borderId="16" xfId="0" applyNumberFormat="1" applyFont="1" applyBorder="1" applyAlignment="1">
      <alignment horizontal="center"/>
    </xf>
    <xf numFmtId="44" fontId="18" fillId="0" borderId="17" xfId="1" applyFont="1" applyBorder="1" applyAlignment="1">
      <alignment horizontal="center"/>
    </xf>
    <xf numFmtId="10" fontId="1" fillId="0" borderId="16" xfId="5" applyNumberFormat="1" applyFont="1" applyBorder="1" applyAlignment="1">
      <alignment horizontal="center"/>
    </xf>
    <xf numFmtId="44" fontId="1" fillId="0" borderId="16" xfId="1" applyFont="1" applyBorder="1" applyAlignment="1">
      <alignment horizontal="center"/>
    </xf>
    <xf numFmtId="167" fontId="18" fillId="0" borderId="18" xfId="0" applyNumberFormat="1" applyFont="1" applyBorder="1" applyAlignment="1">
      <alignment horizontal="center"/>
    </xf>
    <xf numFmtId="44" fontId="18" fillId="0" borderId="18" xfId="1" applyFont="1" applyBorder="1" applyAlignment="1">
      <alignment horizontal="center"/>
    </xf>
    <xf numFmtId="170" fontId="18" fillId="0" borderId="16" xfId="5" applyNumberFormat="1" applyFont="1" applyBorder="1" applyAlignment="1">
      <alignment horizontal="center"/>
    </xf>
    <xf numFmtId="170" fontId="18" fillId="2" borderId="19" xfId="5" applyNumberFormat="1" applyFont="1" applyFill="1" applyBorder="1" applyAlignment="1">
      <alignment horizontal="center"/>
    </xf>
    <xf numFmtId="170" fontId="18" fillId="0" borderId="19" xfId="5" applyNumberFormat="1" applyFont="1" applyBorder="1" applyAlignment="1">
      <alignment horizontal="center"/>
    </xf>
    <xf numFmtId="44" fontId="18" fillId="0" borderId="19" xfId="1" applyFont="1" applyBorder="1" applyAlignment="1">
      <alignment horizontal="center"/>
    </xf>
    <xf numFmtId="44" fontId="18" fillId="3" borderId="19" xfId="1" applyFont="1" applyFill="1" applyBorder="1" applyAlignment="1">
      <alignment horizontal="center"/>
    </xf>
    <xf numFmtId="44" fontId="18" fillId="3" borderId="16" xfId="1" applyFont="1" applyFill="1" applyBorder="1" applyAlignment="1">
      <alignment horizontal="center"/>
    </xf>
    <xf numFmtId="2" fontId="18" fillId="3" borderId="19" xfId="0" applyNumberFormat="1" applyFont="1" applyFill="1" applyBorder="1" applyAlignment="1">
      <alignment horizontal="center"/>
    </xf>
    <xf numFmtId="44" fontId="1" fillId="0" borderId="19" xfId="1" applyFont="1" applyBorder="1" applyAlignment="1">
      <alignment horizontal="center"/>
    </xf>
    <xf numFmtId="44" fontId="1" fillId="0" borderId="16" xfId="1" applyFont="1" applyFill="1" applyBorder="1" applyAlignment="1">
      <alignment horizontal="center"/>
    </xf>
    <xf numFmtId="44" fontId="1" fillId="0" borderId="18" xfId="1" applyFont="1" applyFill="1" applyBorder="1" applyAlignment="1">
      <alignment horizontal="center"/>
    </xf>
    <xf numFmtId="167" fontId="1" fillId="0" borderId="18" xfId="0" applyNumberFormat="1" applyFont="1" applyBorder="1" applyAlignment="1">
      <alignment horizontal="center"/>
    </xf>
    <xf numFmtId="9" fontId="1" fillId="0" borderId="16" xfId="5" applyFont="1" applyBorder="1" applyAlignment="1">
      <alignment horizontal="center"/>
    </xf>
    <xf numFmtId="9" fontId="1" fillId="0" borderId="19" xfId="5" applyFont="1" applyBorder="1" applyAlignment="1">
      <alignment horizontal="center"/>
    </xf>
    <xf numFmtId="10" fontId="1" fillId="0" borderId="19" xfId="0" applyNumberFormat="1" applyFont="1" applyBorder="1" applyAlignment="1">
      <alignment horizontal="center"/>
    </xf>
    <xf numFmtId="167" fontId="1" fillId="0" borderId="19" xfId="0" applyNumberFormat="1" applyFont="1" applyBorder="1" applyAlignment="1">
      <alignment horizontal="center"/>
    </xf>
    <xf numFmtId="8" fontId="1" fillId="0" borderId="16" xfId="0" applyNumberFormat="1" applyFont="1" applyBorder="1" applyAlignment="1">
      <alignment horizontal="center"/>
    </xf>
    <xf numFmtId="8" fontId="1" fillId="0" borderId="19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44" fontId="18" fillId="2" borderId="16" xfId="1" applyFont="1" applyFill="1" applyBorder="1" applyAlignment="1">
      <alignment horizontal="center"/>
    </xf>
    <xf numFmtId="167" fontId="18" fillId="2" borderId="16" xfId="0" applyNumberFormat="1" applyFont="1" applyFill="1" applyBorder="1" applyAlignment="1">
      <alignment horizontal="center"/>
    </xf>
    <xf numFmtId="44" fontId="18" fillId="0" borderId="17" xfId="1" applyFont="1" applyFill="1" applyBorder="1" applyAlignment="1">
      <alignment horizontal="center"/>
    </xf>
    <xf numFmtId="44" fontId="18" fillId="0" borderId="16" xfId="1" applyFont="1" applyFill="1" applyBorder="1" applyAlignment="1">
      <alignment horizontal="center"/>
    </xf>
    <xf numFmtId="10" fontId="1" fillId="0" borderId="16" xfId="5" applyNumberFormat="1" applyFont="1" applyFill="1" applyBorder="1" applyAlignment="1">
      <alignment horizontal="center"/>
    </xf>
    <xf numFmtId="44" fontId="1" fillId="2" borderId="19" xfId="1" applyFont="1" applyFill="1" applyBorder="1" applyAlignment="1">
      <alignment horizontal="center"/>
    </xf>
    <xf numFmtId="44" fontId="1" fillId="2" borderId="16" xfId="1" applyFont="1" applyFill="1" applyBorder="1" applyAlignment="1">
      <alignment horizontal="center"/>
    </xf>
    <xf numFmtId="44" fontId="1" fillId="0" borderId="19" xfId="1" applyFont="1" applyFill="1" applyBorder="1" applyAlignment="1">
      <alignment horizontal="center"/>
    </xf>
    <xf numFmtId="10" fontId="1" fillId="0" borderId="15" xfId="2" applyNumberFormat="1" applyFont="1" applyBorder="1" applyAlignment="1">
      <alignment horizontal="center"/>
    </xf>
    <xf numFmtId="10" fontId="1" fillId="0" borderId="19" xfId="2" applyNumberFormat="1" applyFont="1" applyBorder="1" applyAlignment="1">
      <alignment horizontal="center"/>
    </xf>
    <xf numFmtId="10" fontId="1" fillId="2" borderId="15" xfId="2" applyNumberFormat="1" applyFont="1" applyFill="1" applyBorder="1" applyAlignment="1">
      <alignment horizontal="center"/>
    </xf>
    <xf numFmtId="10" fontId="1" fillId="2" borderId="19" xfId="2" applyNumberFormat="1" applyFont="1" applyFill="1" applyBorder="1" applyAlignment="1">
      <alignment horizontal="center"/>
    </xf>
    <xf numFmtId="170" fontId="1" fillId="0" borderId="13" xfId="5" applyNumberFormat="1" applyFont="1" applyBorder="1" applyAlignment="1">
      <alignment horizontal="center"/>
    </xf>
    <xf numFmtId="170" fontId="1" fillId="0" borderId="15" xfId="5" applyNumberFormat="1" applyFont="1" applyBorder="1" applyAlignment="1">
      <alignment horizontal="center"/>
    </xf>
    <xf numFmtId="10" fontId="1" fillId="2" borderId="15" xfId="0" applyNumberFormat="1" applyFont="1" applyFill="1" applyBorder="1" applyAlignment="1">
      <alignment horizontal="center"/>
    </xf>
    <xf numFmtId="170" fontId="1" fillId="0" borderId="16" xfId="5" applyNumberFormat="1" applyFont="1" applyBorder="1" applyAlignment="1">
      <alignment horizontal="center"/>
    </xf>
    <xf numFmtId="170" fontId="1" fillId="0" borderId="19" xfId="5" applyNumberFormat="1" applyFont="1" applyBorder="1" applyAlignment="1">
      <alignment horizontal="center"/>
    </xf>
    <xf numFmtId="9" fontId="18" fillId="0" borderId="13" xfId="5" applyFont="1" applyBorder="1" applyAlignment="1">
      <alignment horizontal="center"/>
    </xf>
    <xf numFmtId="9" fontId="18" fillId="2" borderId="15" xfId="5" applyFont="1" applyFill="1" applyBorder="1" applyAlignment="1">
      <alignment horizontal="center"/>
    </xf>
    <xf numFmtId="9" fontId="18" fillId="0" borderId="15" xfId="5" applyFont="1" applyBorder="1" applyAlignment="1">
      <alignment horizontal="center"/>
    </xf>
    <xf numFmtId="171" fontId="18" fillId="0" borderId="13" xfId="0" applyNumberFormat="1" applyFont="1" applyBorder="1" applyAlignment="1">
      <alignment horizontal="center"/>
    </xf>
    <xf numFmtId="9" fontId="18" fillId="0" borderId="16" xfId="5" applyFont="1" applyBorder="1" applyAlignment="1">
      <alignment horizontal="center"/>
    </xf>
    <xf numFmtId="9" fontId="18" fillId="2" borderId="19" xfId="5" applyFont="1" applyFill="1" applyBorder="1" applyAlignment="1">
      <alignment horizontal="center"/>
    </xf>
    <xf numFmtId="9" fontId="18" fillId="0" borderId="19" xfId="5" applyFont="1" applyBorder="1" applyAlignment="1">
      <alignment horizontal="center"/>
    </xf>
    <xf numFmtId="171" fontId="18" fillId="0" borderId="16" xfId="0" applyNumberFormat="1" applyFont="1" applyBorder="1" applyAlignment="1">
      <alignment horizontal="center"/>
    </xf>
    <xf numFmtId="44" fontId="18" fillId="2" borderId="14" xfId="1" applyFont="1" applyFill="1" applyBorder="1" applyAlignment="1">
      <alignment horizontal="center"/>
    </xf>
    <xf numFmtId="44" fontId="18" fillId="2" borderId="18" xfId="1" applyFont="1" applyFill="1" applyBorder="1" applyAlignment="1">
      <alignment horizontal="center"/>
    </xf>
    <xf numFmtId="44" fontId="18" fillId="0" borderId="0" xfId="1" applyFont="1" applyBorder="1" applyAlignment="1">
      <alignment horizontal="center"/>
    </xf>
    <xf numFmtId="44" fontId="18" fillId="0" borderId="0" xfId="1" applyFont="1" applyFill="1" applyBorder="1" applyAlignment="1">
      <alignment horizontal="center"/>
    </xf>
    <xf numFmtId="172" fontId="18" fillId="0" borderId="9" xfId="0" applyNumberFormat="1" applyFont="1" applyBorder="1" applyAlignment="1">
      <alignment horizontal="center"/>
    </xf>
    <xf numFmtId="9" fontId="18" fillId="0" borderId="9" xfId="5" applyFont="1" applyBorder="1" applyAlignment="1">
      <alignment horizontal="center"/>
    </xf>
    <xf numFmtId="9" fontId="18" fillId="2" borderId="10" xfId="5" applyFont="1" applyFill="1" applyBorder="1" applyAlignment="1">
      <alignment horizontal="center"/>
    </xf>
    <xf numFmtId="44" fontId="18" fillId="3" borderId="10" xfId="1" applyFont="1" applyFill="1" applyBorder="1" applyAlignment="1">
      <alignment horizontal="center"/>
    </xf>
    <xf numFmtId="2" fontId="18" fillId="3" borderId="9" xfId="0" applyNumberFormat="1" applyFont="1" applyFill="1" applyBorder="1" applyAlignment="1">
      <alignment horizontal="center"/>
    </xf>
    <xf numFmtId="44" fontId="1" fillId="0" borderId="10" xfId="1" applyFont="1" applyBorder="1" applyAlignment="1">
      <alignment horizontal="center"/>
    </xf>
    <xf numFmtId="44" fontId="1" fillId="0" borderId="10" xfId="1" applyFont="1" applyFill="1" applyBorder="1" applyAlignment="1">
      <alignment horizontal="center"/>
    </xf>
    <xf numFmtId="164" fontId="1" fillId="0" borderId="9" xfId="1" applyNumberFormat="1" applyFont="1" applyFill="1" applyBorder="1" applyAlignment="1">
      <alignment horizontal="center" vertical="center"/>
    </xf>
    <xf numFmtId="9" fontId="1" fillId="0" borderId="10" xfId="5" applyFont="1" applyBorder="1" applyAlignment="1">
      <alignment horizontal="center"/>
    </xf>
    <xf numFmtId="10" fontId="1" fillId="0" borderId="9" xfId="2" applyNumberFormat="1" applyFont="1" applyBorder="1" applyAlignment="1">
      <alignment horizontal="center"/>
    </xf>
    <xf numFmtId="44" fontId="1" fillId="2" borderId="10" xfId="1" applyFont="1" applyFill="1" applyBorder="1" applyAlignment="1">
      <alignment horizontal="center"/>
    </xf>
    <xf numFmtId="172" fontId="18" fillId="0" borderId="13" xfId="0" applyNumberFormat="1" applyFont="1" applyBorder="1" applyAlignment="1">
      <alignment horizontal="center"/>
    </xf>
    <xf numFmtId="9" fontId="18" fillId="2" borderId="0" xfId="5" applyFont="1" applyFill="1" applyBorder="1" applyAlignment="1">
      <alignment horizontal="center"/>
    </xf>
    <xf numFmtId="44" fontId="18" fillId="3" borderId="0" xfId="1" applyFont="1" applyFill="1" applyAlignment="1">
      <alignment horizontal="center"/>
    </xf>
    <xf numFmtId="2" fontId="18" fillId="3" borderId="13" xfId="0" applyNumberFormat="1" applyFont="1" applyFill="1" applyBorder="1" applyAlignment="1">
      <alignment horizontal="center"/>
    </xf>
    <xf numFmtId="44" fontId="1" fillId="0" borderId="0" xfId="1" applyFont="1" applyBorder="1" applyAlignment="1">
      <alignment horizontal="center"/>
    </xf>
    <xf numFmtId="44" fontId="1" fillId="0" borderId="0" xfId="1" applyFont="1" applyFill="1"/>
    <xf numFmtId="44" fontId="1" fillId="0" borderId="13" xfId="1" applyFont="1" applyFill="1" applyBorder="1"/>
    <xf numFmtId="164" fontId="1" fillId="0" borderId="13" xfId="1" applyNumberFormat="1" applyFont="1" applyFill="1" applyBorder="1" applyAlignment="1">
      <alignment horizontal="center" vertical="center"/>
    </xf>
    <xf numFmtId="9" fontId="1" fillId="0" borderId="0" xfId="5" applyFont="1" applyBorder="1" applyAlignment="1">
      <alignment horizontal="center"/>
    </xf>
    <xf numFmtId="10" fontId="1" fillId="0" borderId="13" xfId="2" applyNumberFormat="1" applyFont="1" applyBorder="1" applyAlignment="1">
      <alignment horizontal="center"/>
    </xf>
    <xf numFmtId="44" fontId="18" fillId="2" borderId="0" xfId="1" applyFont="1" applyFill="1" applyBorder="1" applyAlignment="1">
      <alignment horizontal="center"/>
    </xf>
    <xf numFmtId="171" fontId="18" fillId="2" borderId="13" xfId="0" applyNumberFormat="1" applyFont="1" applyFill="1" applyBorder="1" applyAlignment="1">
      <alignment horizontal="center"/>
    </xf>
    <xf numFmtId="44" fontId="1" fillId="2" borderId="13" xfId="1" applyFont="1" applyFill="1" applyBorder="1"/>
    <xf numFmtId="44" fontId="1" fillId="0" borderId="0" xfId="1" applyFont="1" applyFill="1" applyBorder="1" applyAlignment="1">
      <alignment horizontal="center"/>
    </xf>
    <xf numFmtId="44" fontId="1" fillId="2" borderId="0" xfId="1" applyFont="1" applyFill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44" fontId="1" fillId="0" borderId="13" xfId="1" applyFont="1" applyBorder="1"/>
    <xf numFmtId="0" fontId="1" fillId="0" borderId="13" xfId="0" applyFont="1" applyBorder="1" applyAlignment="1">
      <alignment horizontal="center"/>
    </xf>
    <xf numFmtId="44" fontId="1" fillId="0" borderId="0" xfId="1" applyFont="1" applyBorder="1"/>
    <xf numFmtId="0" fontId="1" fillId="0" borderId="13" xfId="0" applyFont="1" applyBorder="1"/>
    <xf numFmtId="0" fontId="1" fillId="2" borderId="0" xfId="0" applyFont="1" applyFill="1"/>
    <xf numFmtId="44" fontId="1" fillId="0" borderId="0" xfId="1" applyFont="1"/>
    <xf numFmtId="44" fontId="1" fillId="3" borderId="13" xfId="1" applyFont="1" applyFill="1" applyBorder="1" applyAlignment="1">
      <alignment horizontal="center"/>
    </xf>
    <xf numFmtId="44" fontId="1" fillId="3" borderId="0" xfId="1" applyFont="1" applyFill="1"/>
    <xf numFmtId="0" fontId="1" fillId="3" borderId="13" xfId="0" applyFont="1" applyFill="1" applyBorder="1"/>
    <xf numFmtId="0" fontId="1" fillId="0" borderId="0" xfId="0" applyFont="1"/>
    <xf numFmtId="0" fontId="1" fillId="2" borderId="13" xfId="0" applyFont="1" applyFill="1" applyBorder="1"/>
    <xf numFmtId="44" fontId="1" fillId="2" borderId="0" xfId="1" applyFont="1" applyFill="1" applyBorder="1"/>
    <xf numFmtId="17" fontId="1" fillId="0" borderId="16" xfId="0" applyNumberFormat="1" applyFont="1" applyBorder="1" applyAlignment="1">
      <alignment horizontal="center"/>
    </xf>
    <xf numFmtId="44" fontId="1" fillId="0" borderId="16" xfId="1" applyFont="1" applyBorder="1"/>
    <xf numFmtId="0" fontId="1" fillId="0" borderId="16" xfId="0" applyFont="1" applyBorder="1" applyAlignment="1">
      <alignment horizontal="center"/>
    </xf>
    <xf numFmtId="44" fontId="1" fillId="0" borderId="17" xfId="1" applyFont="1" applyBorder="1"/>
    <xf numFmtId="0" fontId="1" fillId="0" borderId="16" xfId="0" applyFont="1" applyBorder="1"/>
    <xf numFmtId="0" fontId="1" fillId="2" borderId="17" xfId="0" applyFont="1" applyFill="1" applyBorder="1"/>
    <xf numFmtId="44" fontId="1" fillId="3" borderId="16" xfId="1" applyFont="1" applyFill="1" applyBorder="1" applyAlignment="1">
      <alignment horizontal="center"/>
    </xf>
    <xf numFmtId="44" fontId="1" fillId="3" borderId="17" xfId="1" applyFont="1" applyFill="1" applyBorder="1"/>
    <xf numFmtId="0" fontId="1" fillId="3" borderId="16" xfId="0" applyFont="1" applyFill="1" applyBorder="1"/>
    <xf numFmtId="0" fontId="1" fillId="0" borderId="17" xfId="0" applyFont="1" applyBorder="1"/>
    <xf numFmtId="0" fontId="1" fillId="2" borderId="16" xfId="0" applyFont="1" applyFill="1" applyBorder="1"/>
    <xf numFmtId="44" fontId="1" fillId="2" borderId="16" xfId="1" applyFont="1" applyFill="1" applyBorder="1"/>
    <xf numFmtId="44" fontId="1" fillId="0" borderId="16" xfId="1" applyFont="1" applyFill="1" applyBorder="1"/>
    <xf numFmtId="44" fontId="1" fillId="0" borderId="17" xfId="1" applyFont="1" applyFill="1" applyBorder="1" applyAlignment="1">
      <alignment horizontal="center"/>
    </xf>
    <xf numFmtId="44" fontId="1" fillId="2" borderId="17" xfId="1" applyFont="1" applyFill="1" applyBorder="1"/>
    <xf numFmtId="44" fontId="1" fillId="0" borderId="12" xfId="1" applyFont="1" applyFill="1" applyBorder="1"/>
    <xf numFmtId="44" fontId="1" fillId="0" borderId="9" xfId="1" applyFont="1" applyFill="1" applyBorder="1"/>
    <xf numFmtId="0" fontId="1" fillId="0" borderId="9" xfId="0" applyFont="1" applyBorder="1"/>
    <xf numFmtId="44" fontId="1" fillId="2" borderId="9" xfId="1" applyFont="1" applyFill="1" applyBorder="1"/>
    <xf numFmtId="44" fontId="1" fillId="0" borderId="15" xfId="1" applyFont="1" applyFill="1" applyBorder="1"/>
    <xf numFmtId="44" fontId="1" fillId="0" borderId="19" xfId="1" applyFont="1" applyFill="1" applyBorder="1"/>
    <xf numFmtId="164" fontId="1" fillId="0" borderId="16" xfId="1" applyNumberFormat="1" applyFont="1" applyFill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/>
    </xf>
    <xf numFmtId="44" fontId="1" fillId="0" borderId="9" xfId="1" applyFont="1" applyBorder="1"/>
    <xf numFmtId="0" fontId="1" fillId="0" borderId="9" xfId="0" applyFont="1" applyBorder="1" applyAlignment="1">
      <alignment horizontal="center"/>
    </xf>
    <xf numFmtId="44" fontId="1" fillId="0" borderId="10" xfId="1" applyFont="1" applyBorder="1"/>
    <xf numFmtId="0" fontId="1" fillId="2" borderId="10" xfId="0" applyFont="1" applyFill="1" applyBorder="1"/>
    <xf numFmtId="44" fontId="1" fillId="3" borderId="9" xfId="1" applyFont="1" applyFill="1" applyBorder="1" applyAlignment="1">
      <alignment horizontal="center"/>
    </xf>
    <xf numFmtId="44" fontId="1" fillId="3" borderId="10" xfId="1" applyFont="1" applyFill="1" applyBorder="1"/>
    <xf numFmtId="0" fontId="1" fillId="3" borderId="9" xfId="0" applyFont="1" applyFill="1" applyBorder="1"/>
    <xf numFmtId="0" fontId="1" fillId="0" borderId="10" xfId="0" applyFont="1" applyBorder="1"/>
    <xf numFmtId="0" fontId="1" fillId="2" borderId="9" xfId="0" applyFont="1" applyFill="1" applyBorder="1"/>
    <xf numFmtId="44" fontId="1" fillId="2" borderId="10" xfId="1" applyFont="1" applyFill="1" applyBorder="1"/>
    <xf numFmtId="44" fontId="1" fillId="3" borderId="0" xfId="1" applyFont="1" applyFill="1" applyBorder="1"/>
    <xf numFmtId="172" fontId="1" fillId="0" borderId="9" xfId="0" applyNumberFormat="1" applyFont="1" applyBorder="1" applyAlignment="1">
      <alignment horizontal="center"/>
    </xf>
    <xf numFmtId="172" fontId="1" fillId="0" borderId="13" xfId="0" applyNumberFormat="1" applyFont="1" applyBorder="1" applyAlignment="1">
      <alignment horizontal="center"/>
    </xf>
    <xf numFmtId="172" fontId="1" fillId="0" borderId="16" xfId="0" applyNumberFormat="1" applyFont="1" applyBorder="1" applyAlignment="1">
      <alignment horizontal="center"/>
    </xf>
    <xf numFmtId="44" fontId="1" fillId="3" borderId="9" xfId="1" applyFont="1" applyFill="1" applyBorder="1"/>
    <xf numFmtId="44" fontId="1" fillId="4" borderId="9" xfId="1" applyFont="1" applyFill="1" applyBorder="1"/>
    <xf numFmtId="10" fontId="1" fillId="2" borderId="9" xfId="5" applyNumberFormat="1" applyFont="1" applyFill="1" applyBorder="1" applyAlignment="1">
      <alignment horizontal="center"/>
    </xf>
    <xf numFmtId="44" fontId="1" fillId="3" borderId="13" xfId="1" applyFont="1" applyFill="1" applyBorder="1"/>
    <xf numFmtId="44" fontId="1" fillId="4" borderId="13" xfId="1" applyFont="1" applyFill="1" applyBorder="1"/>
    <xf numFmtId="44" fontId="1" fillId="0" borderId="0" xfId="1" applyFont="1" applyFill="1" applyBorder="1"/>
    <xf numFmtId="44" fontId="1" fillId="0" borderId="0" xfId="0" applyNumberFormat="1" applyFont="1"/>
    <xf numFmtId="44" fontId="1" fillId="0" borderId="17" xfId="1" applyFont="1" applyFill="1" applyBorder="1"/>
    <xf numFmtId="44" fontId="1" fillId="0" borderId="17" xfId="0" applyNumberFormat="1" applyFont="1" applyBorder="1"/>
    <xf numFmtId="44" fontId="1" fillId="3" borderId="16" xfId="1" applyFont="1" applyFill="1" applyBorder="1"/>
    <xf numFmtId="44" fontId="1" fillId="4" borderId="16" xfId="1" applyFont="1" applyFill="1" applyBorder="1"/>
    <xf numFmtId="1" fontId="1" fillId="0" borderId="9" xfId="0" applyNumberFormat="1" applyFont="1" applyBorder="1" applyAlignment="1">
      <alignment horizontal="center"/>
    </xf>
    <xf numFmtId="44" fontId="1" fillId="0" borderId="10" xfId="1" applyFont="1" applyFill="1" applyBorder="1"/>
    <xf numFmtId="44" fontId="1" fillId="0" borderId="10" xfId="0" applyNumberFormat="1" applyFont="1" applyBorder="1"/>
    <xf numFmtId="1" fontId="1" fillId="0" borderId="13" xfId="0" applyNumberFormat="1" applyFont="1" applyBorder="1" applyAlignment="1">
      <alignment horizontal="center"/>
    </xf>
    <xf numFmtId="44" fontId="1" fillId="2" borderId="0" xfId="1" applyFont="1" applyFill="1"/>
    <xf numFmtId="44" fontId="1" fillId="2" borderId="0" xfId="0" applyNumberFormat="1" applyFont="1" applyFill="1"/>
    <xf numFmtId="10" fontId="1" fillId="2" borderId="13" xfId="5" applyNumberFormat="1" applyFont="1" applyFill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44" fontId="1" fillId="2" borderId="17" xfId="0" applyNumberFormat="1" applyFont="1" applyFill="1" applyBorder="1"/>
    <xf numFmtId="10" fontId="1" fillId="2" borderId="16" xfId="5" applyNumberFormat="1" applyFont="1" applyFill="1" applyBorder="1" applyAlignment="1">
      <alignment horizontal="center"/>
    </xf>
    <xf numFmtId="44" fontId="1" fillId="2" borderId="10" xfId="0" applyNumberFormat="1" applyFont="1" applyFill="1" applyBorder="1"/>
    <xf numFmtId="0" fontId="1" fillId="2" borderId="13" xfId="0" applyFont="1" applyFill="1" applyBorder="1" applyAlignment="1">
      <alignment horizontal="center"/>
    </xf>
    <xf numFmtId="8" fontId="1" fillId="2" borderId="13" xfId="0" applyNumberFormat="1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31" fillId="0" borderId="0" xfId="10" applyFont="1"/>
    <xf numFmtId="0" fontId="17" fillId="0" borderId="0" xfId="10"/>
    <xf numFmtId="167" fontId="17" fillId="0" borderId="0" xfId="10" applyNumberFormat="1"/>
    <xf numFmtId="44" fontId="17" fillId="0" borderId="0" xfId="1" applyFont="1"/>
    <xf numFmtId="0" fontId="21" fillId="0" borderId="1" xfId="11" applyFont="1" applyBorder="1"/>
    <xf numFmtId="0" fontId="17" fillId="0" borderId="2" xfId="11" applyBorder="1"/>
    <xf numFmtId="0" fontId="32" fillId="0" borderId="2" xfId="11" applyFont="1" applyBorder="1" applyAlignment="1">
      <alignment horizontal="center"/>
    </xf>
    <xf numFmtId="0" fontId="21" fillId="0" borderId="2" xfId="10" applyFont="1" applyBorder="1" applyAlignment="1">
      <alignment horizontal="center"/>
    </xf>
    <xf numFmtId="0" fontId="17" fillId="0" borderId="2" xfId="10" applyBorder="1"/>
    <xf numFmtId="0" fontId="17" fillId="0" borderId="3" xfId="10" applyBorder="1"/>
    <xf numFmtId="0" fontId="21" fillId="0" borderId="0" xfId="10" applyFont="1" applyAlignment="1">
      <alignment horizontal="center"/>
    </xf>
    <xf numFmtId="17" fontId="21" fillId="0" borderId="22" xfId="11" applyNumberFormat="1" applyFont="1" applyBorder="1" applyAlignment="1">
      <alignment horizontal="center"/>
    </xf>
    <xf numFmtId="10" fontId="17" fillId="0" borderId="0" xfId="10" applyNumberFormat="1"/>
    <xf numFmtId="0" fontId="17" fillId="0" borderId="11" xfId="10" applyBorder="1"/>
    <xf numFmtId="0" fontId="17" fillId="0" borderId="15" xfId="11" applyBorder="1"/>
    <xf numFmtId="0" fontId="17" fillId="0" borderId="0" xfId="0" applyFont="1" applyAlignment="1">
      <alignment horizontal="right"/>
    </xf>
    <xf numFmtId="180" fontId="17" fillId="0" borderId="0" xfId="0" applyNumberFormat="1" applyFont="1"/>
    <xf numFmtId="0" fontId="17" fillId="0" borderId="14" xfId="10" applyBorder="1"/>
    <xf numFmtId="180" fontId="17" fillId="0" borderId="0" xfId="0" applyNumberFormat="1" applyFont="1" applyProtection="1">
      <protection locked="0"/>
    </xf>
    <xf numFmtId="167" fontId="21" fillId="0" borderId="22" xfId="10" applyNumberFormat="1" applyFont="1" applyBorder="1"/>
    <xf numFmtId="167" fontId="21" fillId="0" borderId="22" xfId="11" applyNumberFormat="1" applyFont="1" applyBorder="1"/>
    <xf numFmtId="0" fontId="17" fillId="0" borderId="0" xfId="0" quotePrefix="1" applyFont="1"/>
    <xf numFmtId="186" fontId="17" fillId="0" borderId="5" xfId="0" quotePrefix="1" applyNumberFormat="1" applyFont="1" applyBorder="1" applyAlignment="1">
      <alignment horizontal="center"/>
    </xf>
    <xf numFmtId="180" fontId="21" fillId="0" borderId="18" xfId="0" applyNumberFormat="1" applyFont="1" applyBorder="1"/>
    <xf numFmtId="0" fontId="17" fillId="0" borderId="17" xfId="0" quotePrefix="1" applyFont="1" applyBorder="1"/>
    <xf numFmtId="180" fontId="17" fillId="0" borderId="17" xfId="0" applyNumberFormat="1" applyFont="1" applyBorder="1"/>
    <xf numFmtId="186" fontId="17" fillId="0" borderId="26" xfId="0" quotePrefix="1" applyNumberFormat="1" applyFont="1" applyBorder="1" applyAlignment="1">
      <alignment horizontal="center"/>
    </xf>
    <xf numFmtId="0" fontId="34" fillId="0" borderId="0" xfId="0" applyFont="1" applyAlignment="1">
      <alignment horizontal="left"/>
    </xf>
    <xf numFmtId="4" fontId="17" fillId="0" borderId="10" xfId="11" applyNumberFormat="1" applyBorder="1" applyAlignment="1">
      <alignment horizontal="center"/>
    </xf>
    <xf numFmtId="176" fontId="17" fillId="0" borderId="25" xfId="11" applyNumberFormat="1" applyBorder="1" applyAlignment="1">
      <alignment horizontal="center"/>
    </xf>
    <xf numFmtId="180" fontId="17" fillId="0" borderId="23" xfId="0" applyNumberFormat="1" applyFont="1" applyBorder="1"/>
    <xf numFmtId="187" fontId="21" fillId="0" borderId="0" xfId="11" applyNumberFormat="1" applyFont="1" applyAlignment="1">
      <alignment horizontal="right"/>
    </xf>
    <xf numFmtId="0" fontId="17" fillId="0" borderId="19" xfId="11" applyBorder="1"/>
    <xf numFmtId="0" fontId="17" fillId="0" borderId="17" xfId="0" applyFont="1" applyBorder="1" applyAlignment="1">
      <alignment horizontal="right"/>
    </xf>
    <xf numFmtId="10" fontId="21" fillId="0" borderId="17" xfId="11" applyNumberFormat="1" applyFont="1" applyBorder="1" applyAlignment="1">
      <alignment horizontal="right"/>
    </xf>
    <xf numFmtId="0" fontId="21" fillId="0" borderId="0" xfId="10" applyFont="1" applyAlignment="1">
      <alignment horizontal="right"/>
    </xf>
    <xf numFmtId="44" fontId="21" fillId="0" borderId="22" xfId="10" applyNumberFormat="1" applyFont="1" applyBorder="1"/>
    <xf numFmtId="0" fontId="21" fillId="0" borderId="0" xfId="10" applyFont="1"/>
    <xf numFmtId="44" fontId="21" fillId="0" borderId="0" xfId="1" applyFont="1" applyFill="1" applyBorder="1"/>
    <xf numFmtId="0" fontId="17" fillId="0" borderId="6" xfId="10" applyBorder="1"/>
    <xf numFmtId="0" fontId="17" fillId="0" borderId="7" xfId="10" applyBorder="1"/>
    <xf numFmtId="0" fontId="21" fillId="0" borderId="7" xfId="10" applyFont="1" applyBorder="1" applyAlignment="1">
      <alignment horizontal="right"/>
    </xf>
    <xf numFmtId="167" fontId="21" fillId="0" borderId="29" xfId="0" applyNumberFormat="1" applyFont="1" applyBorder="1"/>
    <xf numFmtId="0" fontId="17" fillId="11" borderId="0" xfId="10" applyFill="1"/>
    <xf numFmtId="0" fontId="33" fillId="11" borderId="0" xfId="13" applyFont="1" applyFill="1" applyAlignment="1">
      <alignment horizontal="right"/>
    </xf>
    <xf numFmtId="184" fontId="27" fillId="11" borderId="0" xfId="14" applyFont="1" applyFill="1" applyBorder="1"/>
    <xf numFmtId="0" fontId="33" fillId="11" borderId="0" xfId="13" applyFont="1" applyFill="1"/>
    <xf numFmtId="0" fontId="32" fillId="11" borderId="0" xfId="13" applyFont="1" applyFill="1"/>
    <xf numFmtId="0" fontId="35" fillId="11" borderId="0" xfId="13" applyFont="1" applyFill="1"/>
    <xf numFmtId="0" fontId="36" fillId="12" borderId="30" xfId="11" applyFont="1" applyFill="1" applyBorder="1" applyAlignment="1">
      <alignment horizontal="left"/>
    </xf>
    <xf numFmtId="0" fontId="37" fillId="12" borderId="31" xfId="11" applyFont="1" applyFill="1" applyBorder="1" applyAlignment="1">
      <alignment horizontal="center"/>
    </xf>
    <xf numFmtId="0" fontId="32" fillId="12" borderId="31" xfId="13" applyFont="1" applyFill="1" applyBorder="1"/>
    <xf numFmtId="0" fontId="35" fillId="12" borderId="31" xfId="13" applyFont="1" applyFill="1" applyBorder="1"/>
    <xf numFmtId="0" fontId="17" fillId="12" borderId="31" xfId="10" applyFill="1" applyBorder="1"/>
    <xf numFmtId="0" fontId="17" fillId="12" borderId="32" xfId="10" applyFill="1" applyBorder="1"/>
    <xf numFmtId="0" fontId="38" fillId="11" borderId="33" xfId="0" applyFont="1" applyFill="1" applyBorder="1" applyAlignment="1">
      <alignment horizontal="left" vertical="top"/>
    </xf>
    <xf numFmtId="0" fontId="33" fillId="0" borderId="2" xfId="0" applyFont="1" applyBorder="1"/>
    <xf numFmtId="0" fontId="33" fillId="11" borderId="2" xfId="0" applyFont="1" applyFill="1" applyBorder="1"/>
    <xf numFmtId="0" fontId="33" fillId="11" borderId="34" xfId="0" applyFont="1" applyFill="1" applyBorder="1"/>
    <xf numFmtId="0" fontId="33" fillId="11" borderId="35" xfId="0" applyFont="1" applyFill="1" applyBorder="1"/>
    <xf numFmtId="0" fontId="32" fillId="0" borderId="36" xfId="0" applyFont="1" applyBorder="1" applyAlignment="1">
      <alignment horizontal="left" vertical="top"/>
    </xf>
    <xf numFmtId="0" fontId="33" fillId="0" borderId="37" xfId="0" applyFont="1" applyBorder="1"/>
    <xf numFmtId="0" fontId="33" fillId="0" borderId="23" xfId="0" applyFont="1" applyBorder="1"/>
    <xf numFmtId="0" fontId="33" fillId="0" borderId="10" xfId="0" applyFont="1" applyBorder="1"/>
    <xf numFmtId="0" fontId="33" fillId="11" borderId="38" xfId="0" applyFont="1" applyFill="1" applyBorder="1"/>
    <xf numFmtId="0" fontId="7" fillId="13" borderId="39" xfId="0" applyFont="1" applyFill="1" applyBorder="1" applyAlignment="1">
      <alignment horizontal="center" vertical="center" wrapText="1"/>
    </xf>
    <xf numFmtId="0" fontId="7" fillId="13" borderId="40" xfId="0" applyFont="1" applyFill="1" applyBorder="1" applyAlignment="1">
      <alignment horizontal="center" vertical="center" wrapText="1"/>
    </xf>
    <xf numFmtId="0" fontId="0" fillId="11" borderId="0" xfId="0" applyFill="1"/>
    <xf numFmtId="0" fontId="6" fillId="13" borderId="40" xfId="0" applyFont="1" applyFill="1" applyBorder="1" applyAlignment="1">
      <alignment horizontal="center" vertical="center" wrapText="1"/>
    </xf>
    <xf numFmtId="0" fontId="33" fillId="0" borderId="0" xfId="0" applyFont="1"/>
    <xf numFmtId="0" fontId="27" fillId="0" borderId="0" xfId="0" applyFont="1" applyAlignment="1">
      <alignment vertical="top"/>
    </xf>
    <xf numFmtId="0" fontId="33" fillId="11" borderId="41" xfId="0" applyFont="1" applyFill="1" applyBorder="1"/>
    <xf numFmtId="0" fontId="32" fillId="0" borderId="36" xfId="0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27" fillId="0" borderId="0" xfId="0" applyFont="1" applyAlignment="1">
      <alignment horizontal="center" vertical="top" wrapText="1"/>
    </xf>
    <xf numFmtId="0" fontId="0" fillId="11" borderId="1" xfId="0" applyFill="1" applyBorder="1"/>
    <xf numFmtId="166" fontId="0" fillId="14" borderId="3" xfId="2" applyNumberFormat="1" applyFont="1" applyFill="1" applyBorder="1" applyAlignment="1">
      <alignment horizontal="center"/>
    </xf>
    <xf numFmtId="188" fontId="0" fillId="11" borderId="3" xfId="0" applyNumberFormat="1" applyFill="1" applyBorder="1"/>
    <xf numFmtId="189" fontId="32" fillId="0" borderId="22" xfId="5" applyNumberFormat="1" applyFont="1" applyFill="1" applyBorder="1"/>
    <xf numFmtId="0" fontId="2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11" borderId="4" xfId="0" applyFill="1" applyBorder="1"/>
    <xf numFmtId="166" fontId="0" fillId="14" borderId="5" xfId="2" applyNumberFormat="1" applyFont="1" applyFill="1" applyBorder="1" applyAlignment="1">
      <alignment horizontal="center"/>
    </xf>
    <xf numFmtId="190" fontId="0" fillId="11" borderId="5" xfId="0" applyNumberFormat="1" applyFill="1" applyBorder="1"/>
    <xf numFmtId="0" fontId="39" fillId="0" borderId="0" xfId="0" applyFont="1" applyAlignment="1">
      <alignment horizontal="center" vertical="center" wrapText="1"/>
    </xf>
    <xf numFmtId="0" fontId="39" fillId="0" borderId="0" xfId="0" applyFont="1"/>
    <xf numFmtId="166" fontId="32" fillId="0" borderId="22" xfId="15" applyNumberFormat="1" applyFont="1" applyFill="1" applyBorder="1" applyAlignment="1">
      <alignment horizontal="center"/>
    </xf>
    <xf numFmtId="166" fontId="27" fillId="0" borderId="0" xfId="15" applyNumberFormat="1" applyFont="1" applyFill="1" applyBorder="1" applyAlignment="1">
      <alignment horizontal="center" vertical="center"/>
    </xf>
    <xf numFmtId="10" fontId="27" fillId="0" borderId="0" xfId="5" applyNumberFormat="1" applyFont="1" applyFill="1" applyBorder="1" applyAlignment="1">
      <alignment horizontal="center" vertical="center"/>
    </xf>
    <xf numFmtId="166" fontId="27" fillId="0" borderId="0" xfId="15" applyNumberFormat="1" applyFont="1" applyFill="1" applyBorder="1"/>
    <xf numFmtId="43" fontId="33" fillId="0" borderId="0" xfId="0" applyNumberFormat="1" applyFont="1"/>
    <xf numFmtId="0" fontId="0" fillId="11" borderId="6" xfId="0" applyFill="1" applyBorder="1"/>
    <xf numFmtId="166" fontId="0" fillId="14" borderId="8" xfId="2" applyNumberFormat="1" applyFont="1" applyFill="1" applyBorder="1" applyAlignment="1">
      <alignment horizontal="center"/>
    </xf>
    <xf numFmtId="191" fontId="0" fillId="11" borderId="8" xfId="0" applyNumberFormat="1" applyFill="1" applyBorder="1"/>
    <xf numFmtId="166" fontId="21" fillId="0" borderId="43" xfId="15" applyNumberFormat="1" applyFont="1" applyFill="1" applyBorder="1" applyAlignment="1">
      <alignment horizontal="center"/>
    </xf>
    <xf numFmtId="43" fontId="32" fillId="0" borderId="43" xfId="15" applyFont="1" applyFill="1" applyBorder="1" applyAlignment="1">
      <alignment horizontal="center"/>
    </xf>
    <xf numFmtId="189" fontId="32" fillId="0" borderId="43" xfId="5" applyNumberFormat="1" applyFont="1" applyFill="1" applyBorder="1"/>
    <xf numFmtId="166" fontId="21" fillId="0" borderId="16" xfId="15" applyNumberFormat="1" applyFont="1" applyFill="1" applyBorder="1" applyAlignment="1">
      <alignment horizontal="center"/>
    </xf>
    <xf numFmtId="189" fontId="32" fillId="0" borderId="16" xfId="5" applyNumberFormat="1" applyFont="1" applyFill="1" applyBorder="1"/>
    <xf numFmtId="176" fontId="27" fillId="0" borderId="0" xfId="0" applyNumberFormat="1" applyFont="1" applyAlignment="1">
      <alignment horizontal="center" vertical="center"/>
    </xf>
    <xf numFmtId="0" fontId="40" fillId="13" borderId="1" xfId="0" applyFont="1" applyFill="1" applyBorder="1"/>
    <xf numFmtId="0" fontId="6" fillId="13" borderId="2" xfId="0" applyFont="1" applyFill="1" applyBorder="1"/>
    <xf numFmtId="0" fontId="6" fillId="13" borderId="3" xfId="0" applyFont="1" applyFill="1" applyBorder="1"/>
    <xf numFmtId="176" fontId="27" fillId="0" borderId="0" xfId="0" applyNumberFormat="1" applyFont="1" applyAlignment="1">
      <alignment horizontal="right" vertical="center"/>
    </xf>
    <xf numFmtId="189" fontId="32" fillId="0" borderId="0" xfId="5" applyNumberFormat="1" applyFont="1" applyFill="1" applyBorder="1"/>
    <xf numFmtId="0" fontId="27" fillId="0" borderId="0" xfId="0" applyFont="1" applyAlignment="1">
      <alignment horizontal="right"/>
    </xf>
    <xf numFmtId="0" fontId="7" fillId="13" borderId="6" xfId="0" applyFont="1" applyFill="1" applyBorder="1"/>
    <xf numFmtId="192" fontId="6" fillId="13" borderId="7" xfId="2" applyNumberFormat="1" applyFont="1" applyFill="1" applyBorder="1" applyAlignment="1">
      <alignment horizontal="center"/>
    </xf>
    <xf numFmtId="192" fontId="6" fillId="13" borderId="8" xfId="2" applyNumberFormat="1" applyFont="1" applyFill="1" applyBorder="1" applyAlignment="1">
      <alignment horizontal="center"/>
    </xf>
    <xf numFmtId="166" fontId="0" fillId="11" borderId="2" xfId="2" applyNumberFormat="1" applyFont="1" applyFill="1" applyBorder="1"/>
    <xf numFmtId="166" fontId="0" fillId="11" borderId="3" xfId="2" applyNumberFormat="1" applyFont="1" applyFill="1" applyBorder="1"/>
    <xf numFmtId="166" fontId="0" fillId="11" borderId="0" xfId="2" applyNumberFormat="1" applyFont="1" applyFill="1" applyBorder="1"/>
    <xf numFmtId="166" fontId="0" fillId="11" borderId="5" xfId="2" applyNumberFormat="1" applyFont="1" applyFill="1" applyBorder="1"/>
    <xf numFmtId="0" fontId="32" fillId="11" borderId="41" xfId="0" applyFont="1" applyFill="1" applyBorder="1" applyAlignment="1">
      <alignment horizontal="left" vertical="top"/>
    </xf>
    <xf numFmtId="193" fontId="27" fillId="0" borderId="0" xfId="5" applyNumberFormat="1" applyFont="1" applyFill="1" applyBorder="1"/>
    <xf numFmtId="192" fontId="0" fillId="11" borderId="0" xfId="2" applyNumberFormat="1" applyFont="1" applyFill="1" applyBorder="1"/>
    <xf numFmtId="192" fontId="0" fillId="11" borderId="5" xfId="2" applyNumberFormat="1" applyFont="1" applyFill="1" applyBorder="1"/>
    <xf numFmtId="0" fontId="41" fillId="11" borderId="41" xfId="0" applyFont="1" applyFill="1" applyBorder="1" applyAlignment="1">
      <alignment horizontal="left" vertical="top"/>
    </xf>
    <xf numFmtId="0" fontId="33" fillId="11" borderId="0" xfId="0" applyFont="1" applyFill="1"/>
    <xf numFmtId="188" fontId="0" fillId="11" borderId="0" xfId="2" applyNumberFormat="1" applyFont="1" applyFill="1" applyBorder="1"/>
    <xf numFmtId="188" fontId="0" fillId="11" borderId="5" xfId="2" applyNumberFormat="1" applyFont="1" applyFill="1" applyBorder="1"/>
    <xf numFmtId="0" fontId="17" fillId="11" borderId="41" xfId="0" applyFont="1" applyFill="1" applyBorder="1"/>
    <xf numFmtId="0" fontId="17" fillId="11" borderId="0" xfId="0" applyFont="1" applyFill="1"/>
    <xf numFmtId="38" fontId="0" fillId="11" borderId="0" xfId="2" applyNumberFormat="1" applyFont="1" applyFill="1" applyBorder="1"/>
    <xf numFmtId="38" fontId="0" fillId="11" borderId="5" xfId="2" applyNumberFormat="1" applyFont="1" applyFill="1" applyBorder="1"/>
    <xf numFmtId="0" fontId="17" fillId="11" borderId="41" xfId="0" applyFont="1" applyFill="1" applyBorder="1" applyAlignment="1">
      <alignment horizontal="right" vertical="top" wrapText="1" indent="1"/>
    </xf>
    <xf numFmtId="0" fontId="21" fillId="11" borderId="22" xfId="0" applyFont="1" applyFill="1" applyBorder="1" applyAlignment="1">
      <alignment horizontal="center" vertical="center" wrapText="1"/>
    </xf>
    <xf numFmtId="0" fontId="43" fillId="11" borderId="22" xfId="0" applyFont="1" applyFill="1" applyBorder="1" applyAlignment="1">
      <alignment horizontal="center" vertical="center" wrapText="1"/>
    </xf>
    <xf numFmtId="0" fontId="44" fillId="11" borderId="22" xfId="0" applyFont="1" applyFill="1" applyBorder="1" applyAlignment="1">
      <alignment horizontal="center" vertical="center" wrapText="1"/>
    </xf>
    <xf numFmtId="0" fontId="32" fillId="11" borderId="22" xfId="0" applyFont="1" applyFill="1" applyBorder="1" applyAlignment="1">
      <alignment horizontal="center" vertical="center" wrapText="1"/>
    </xf>
    <xf numFmtId="40" fontId="0" fillId="11" borderId="0" xfId="2" applyNumberFormat="1" applyFont="1" applyFill="1" applyBorder="1"/>
    <xf numFmtId="40" fontId="0" fillId="11" borderId="5" xfId="2" applyNumberFormat="1" applyFont="1" applyFill="1" applyBorder="1"/>
    <xf numFmtId="0" fontId="43" fillId="11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7" fillId="11" borderId="41" xfId="0" applyFont="1" applyFill="1" applyBorder="1" applyAlignment="1">
      <alignment horizontal="right" indent="1"/>
    </xf>
    <xf numFmtId="0" fontId="21" fillId="11" borderId="15" xfId="0" applyFont="1" applyFill="1" applyBorder="1" applyAlignment="1">
      <alignment horizontal="center" vertical="center" wrapText="1"/>
    </xf>
    <xf numFmtId="0" fontId="21" fillId="11" borderId="14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33" fillId="11" borderId="0" xfId="0" applyFont="1" applyFill="1" applyAlignment="1">
      <alignment horizontal="center" vertical="center" wrapText="1"/>
    </xf>
    <xf numFmtId="0" fontId="33" fillId="11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94" fontId="21" fillId="11" borderId="41" xfId="0" applyNumberFormat="1" applyFont="1" applyFill="1" applyBorder="1" applyAlignment="1">
      <alignment horizontal="right" indent="1"/>
    </xf>
    <xf numFmtId="166" fontId="21" fillId="11" borderId="15" xfId="15" applyNumberFormat="1" applyFont="1" applyFill="1" applyBorder="1" applyAlignment="1">
      <alignment horizontal="center" vertical="center"/>
    </xf>
    <xf numFmtId="43" fontId="17" fillId="11" borderId="14" xfId="15" applyFont="1" applyFill="1" applyBorder="1" applyAlignment="1">
      <alignment horizontal="center" vertical="center"/>
    </xf>
    <xf numFmtId="43" fontId="17" fillId="11" borderId="0" xfId="2" applyFont="1" applyFill="1" applyBorder="1" applyAlignment="1">
      <alignment horizontal="center" vertical="center"/>
    </xf>
    <xf numFmtId="2" fontId="33" fillId="11" borderId="0" xfId="0" applyNumberFormat="1" applyFont="1" applyFill="1" applyAlignment="1">
      <alignment horizontal="center" vertical="center"/>
    </xf>
    <xf numFmtId="172" fontId="33" fillId="11" borderId="0" xfId="0" applyNumberFormat="1" applyFont="1" applyFill="1" applyAlignment="1">
      <alignment horizontal="center" vertical="center"/>
    </xf>
    <xf numFmtId="172" fontId="33" fillId="11" borderId="14" xfId="0" applyNumberFormat="1" applyFont="1" applyFill="1" applyBorder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172" fontId="33" fillId="0" borderId="0" xfId="0" applyNumberFormat="1" applyFont="1" applyAlignment="1">
      <alignment horizontal="center" vertical="center"/>
    </xf>
    <xf numFmtId="10" fontId="0" fillId="11" borderId="0" xfId="5" applyNumberFormat="1" applyFont="1" applyFill="1" applyBorder="1" applyAlignment="1">
      <alignment horizontal="right"/>
    </xf>
    <xf numFmtId="10" fontId="0" fillId="11" borderId="5" xfId="5" applyNumberFormat="1" applyFont="1" applyFill="1" applyBorder="1" applyAlignment="1">
      <alignment horizontal="right"/>
    </xf>
    <xf numFmtId="0" fontId="21" fillId="11" borderId="41" xfId="0" applyFont="1" applyFill="1" applyBorder="1" applyAlignment="1">
      <alignment horizontal="right" indent="1"/>
    </xf>
    <xf numFmtId="166" fontId="21" fillId="11" borderId="19" xfId="15" applyNumberFormat="1" applyFont="1" applyFill="1" applyBorder="1" applyAlignment="1">
      <alignment horizontal="center" vertical="center"/>
    </xf>
    <xf numFmtId="43" fontId="17" fillId="11" borderId="18" xfId="15" applyFont="1" applyFill="1" applyBorder="1" applyAlignment="1">
      <alignment horizontal="center" vertical="center"/>
    </xf>
    <xf numFmtId="189" fontId="0" fillId="11" borderId="0" xfId="5" applyNumberFormat="1" applyFont="1" applyFill="1" applyBorder="1"/>
    <xf numFmtId="189" fontId="0" fillId="11" borderId="5" xfId="5" applyNumberFormat="1" applyFont="1" applyFill="1" applyBorder="1"/>
    <xf numFmtId="0" fontId="17" fillId="11" borderId="41" xfId="0" applyFont="1" applyFill="1" applyBorder="1" applyAlignment="1">
      <alignment horizontal="right"/>
    </xf>
    <xf numFmtId="0" fontId="33" fillId="11" borderId="14" xfId="0" applyFont="1" applyFill="1" applyBorder="1"/>
    <xf numFmtId="195" fontId="0" fillId="11" borderId="0" xfId="2" applyNumberFormat="1" applyFont="1" applyFill="1" applyBorder="1"/>
    <xf numFmtId="195" fontId="0" fillId="11" borderId="5" xfId="2" applyNumberFormat="1" applyFont="1" applyFill="1" applyBorder="1"/>
    <xf numFmtId="166" fontId="0" fillId="11" borderId="7" xfId="2" applyNumberFormat="1" applyFont="1" applyFill="1" applyBorder="1"/>
    <xf numFmtId="166" fontId="0" fillId="15" borderId="8" xfId="2" applyNumberFormat="1" applyFont="1" applyFill="1" applyBorder="1"/>
    <xf numFmtId="0" fontId="17" fillId="11" borderId="45" xfId="0" applyFont="1" applyFill="1" applyBorder="1" applyAlignment="1">
      <alignment horizontal="right"/>
    </xf>
    <xf numFmtId="0" fontId="17" fillId="11" borderId="17" xfId="0" applyFont="1" applyFill="1" applyBorder="1"/>
    <xf numFmtId="0" fontId="33" fillId="11" borderId="17" xfId="0" applyFont="1" applyFill="1" applyBorder="1"/>
    <xf numFmtId="0" fontId="33" fillId="11" borderId="18" xfId="0" applyFont="1" applyFill="1" applyBorder="1"/>
    <xf numFmtId="0" fontId="33" fillId="11" borderId="46" xfId="0" applyFont="1" applyFill="1" applyBorder="1"/>
    <xf numFmtId="0" fontId="17" fillId="0" borderId="41" xfId="10" applyBorder="1"/>
    <xf numFmtId="0" fontId="17" fillId="0" borderId="38" xfId="10" applyBorder="1"/>
    <xf numFmtId="0" fontId="45" fillId="0" borderId="41" xfId="10" applyFont="1" applyBorder="1"/>
    <xf numFmtId="0" fontId="46" fillId="0" borderId="0" xfId="10" applyFont="1"/>
    <xf numFmtId="0" fontId="21" fillId="0" borderId="0" xfId="11" applyFont="1"/>
    <xf numFmtId="43" fontId="21" fillId="0" borderId="22" xfId="2" applyFont="1" applyFill="1" applyBorder="1" applyAlignment="1">
      <alignment horizontal="center"/>
    </xf>
    <xf numFmtId="0" fontId="21" fillId="0" borderId="22" xfId="10" applyFont="1" applyBorder="1" applyAlignment="1">
      <alignment horizontal="center"/>
    </xf>
    <xf numFmtId="0" fontId="47" fillId="0" borderId="0" xfId="10" applyFont="1"/>
    <xf numFmtId="0" fontId="17" fillId="0" borderId="41" xfId="11" applyBorder="1"/>
    <xf numFmtId="0" fontId="21" fillId="0" borderId="0" xfId="11" applyFont="1" applyAlignment="1">
      <alignment horizontal="right"/>
    </xf>
    <xf numFmtId="166" fontId="13" fillId="0" borderId="0" xfId="2" applyNumberFormat="1" applyFont="1" applyFill="1" applyBorder="1" applyAlignment="1">
      <alignment horizontal="center"/>
    </xf>
    <xf numFmtId="10" fontId="21" fillId="0" borderId="0" xfId="5" applyNumberFormat="1" applyFont="1" applyBorder="1"/>
    <xf numFmtId="0" fontId="48" fillId="0" borderId="0" xfId="10" applyFont="1"/>
    <xf numFmtId="0" fontId="34" fillId="0" borderId="41" xfId="11" applyFont="1" applyBorder="1"/>
    <xf numFmtId="166" fontId="49" fillId="0" borderId="0" xfId="2" applyNumberFormat="1" applyFont="1" applyFill="1" applyBorder="1"/>
    <xf numFmtId="0" fontId="50" fillId="0" borderId="0" xfId="10" applyFont="1"/>
    <xf numFmtId="166" fontId="13" fillId="2" borderId="0" xfId="2" applyNumberFormat="1" applyFont="1" applyFill="1" applyBorder="1" applyAlignment="1">
      <alignment horizontal="center"/>
    </xf>
    <xf numFmtId="0" fontId="17" fillId="0" borderId="41" xfId="11" applyBorder="1" applyAlignment="1">
      <alignment horizontal="right"/>
    </xf>
    <xf numFmtId="166" fontId="13" fillId="0" borderId="0" xfId="2" applyNumberFormat="1" applyFont="1" applyFill="1" applyBorder="1"/>
    <xf numFmtId="166" fontId="13" fillId="0" borderId="37" xfId="2" applyNumberFormat="1" applyFont="1" applyFill="1" applyBorder="1" applyAlignment="1">
      <alignment horizontal="right"/>
    </xf>
    <xf numFmtId="166" fontId="13" fillId="3" borderId="22" xfId="2" applyNumberFormat="1" applyFont="1" applyFill="1" applyBorder="1"/>
    <xf numFmtId="166" fontId="13" fillId="0" borderId="0" xfId="2" applyNumberFormat="1" applyFont="1" applyFill="1" applyBorder="1" applyAlignment="1">
      <alignment horizontal="right"/>
    </xf>
    <xf numFmtId="43" fontId="21" fillId="0" borderId="0" xfId="2" applyFont="1" applyFill="1" applyBorder="1"/>
    <xf numFmtId="166" fontId="13" fillId="2" borderId="0" xfId="2" applyNumberFormat="1" applyFont="1" applyFill="1" applyBorder="1" applyAlignment="1">
      <alignment horizontal="right"/>
    </xf>
    <xf numFmtId="43" fontId="21" fillId="0" borderId="0" xfId="10" applyNumberFormat="1" applyFont="1"/>
    <xf numFmtId="167" fontId="21" fillId="0" borderId="0" xfId="10" applyNumberFormat="1" applyFont="1"/>
    <xf numFmtId="44" fontId="21" fillId="0" borderId="0" xfId="1" applyFont="1" applyBorder="1"/>
    <xf numFmtId="167" fontId="21" fillId="0" borderId="0" xfId="1" applyNumberFormat="1" applyFont="1" applyFill="1" applyBorder="1"/>
    <xf numFmtId="44" fontId="21" fillId="0" borderId="0" xfId="10" applyNumberFormat="1" applyFont="1"/>
    <xf numFmtId="44" fontId="17" fillId="0" borderId="0" xfId="1" applyFont="1" applyBorder="1"/>
    <xf numFmtId="43" fontId="21" fillId="0" borderId="17" xfId="10" applyNumberFormat="1" applyFont="1" applyBorder="1"/>
    <xf numFmtId="0" fontId="33" fillId="0" borderId="41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21" fillId="0" borderId="47" xfId="10" applyFont="1" applyBorder="1" applyAlignment="1">
      <alignment horizontal="right"/>
    </xf>
    <xf numFmtId="165" fontId="13" fillId="0" borderId="48" xfId="10" applyNumberFormat="1" applyFont="1" applyBorder="1"/>
    <xf numFmtId="167" fontId="33" fillId="0" borderId="41" xfId="9" applyFont="1" applyFill="1" applyBorder="1"/>
    <xf numFmtId="167" fontId="32" fillId="0" borderId="0" xfId="0" applyNumberFormat="1" applyFont="1"/>
    <xf numFmtId="166" fontId="21" fillId="0" borderId="0" xfId="10" applyNumberFormat="1" applyFont="1"/>
    <xf numFmtId="0" fontId="17" fillId="0" borderId="0" xfId="10" applyAlignment="1">
      <alignment horizontal="right"/>
    </xf>
    <xf numFmtId="44" fontId="17" fillId="0" borderId="0" xfId="10" applyNumberFormat="1"/>
    <xf numFmtId="167" fontId="33" fillId="0" borderId="41" xfId="0" applyNumberFormat="1" applyFont="1" applyBorder="1"/>
    <xf numFmtId="0" fontId="17" fillId="0" borderId="0" xfId="11"/>
    <xf numFmtId="44" fontId="13" fillId="3" borderId="9" xfId="1" applyFont="1" applyFill="1" applyBorder="1"/>
    <xf numFmtId="0" fontId="17" fillId="0" borderId="0" xfId="11" applyAlignment="1">
      <alignment horizontal="right"/>
    </xf>
    <xf numFmtId="44" fontId="17" fillId="0" borderId="0" xfId="11" applyNumberFormat="1"/>
    <xf numFmtId="0" fontId="17" fillId="0" borderId="38" xfId="11" applyBorder="1"/>
    <xf numFmtId="44" fontId="21" fillId="0" borderId="37" xfId="1" applyFont="1" applyBorder="1"/>
    <xf numFmtId="167" fontId="21" fillId="0" borderId="0" xfId="12" applyFont="1" applyBorder="1" applyAlignment="1">
      <alignment horizontal="right"/>
    </xf>
    <xf numFmtId="0" fontId="21" fillId="0" borderId="37" xfId="1" applyNumberFormat="1" applyFont="1" applyBorder="1"/>
    <xf numFmtId="167" fontId="21" fillId="10" borderId="0" xfId="1" applyNumberFormat="1" applyFont="1" applyFill="1" applyBorder="1"/>
    <xf numFmtId="167" fontId="33" fillId="0" borderId="49" xfId="0" applyNumberFormat="1" applyFont="1" applyBorder="1"/>
    <xf numFmtId="167" fontId="32" fillId="0" borderId="50" xfId="0" applyNumberFormat="1" applyFont="1" applyBorder="1"/>
    <xf numFmtId="167" fontId="17" fillId="0" borderId="50" xfId="10" applyNumberFormat="1" applyBorder="1"/>
    <xf numFmtId="0" fontId="17" fillId="0" borderId="50" xfId="10" applyBorder="1"/>
    <xf numFmtId="0" fontId="17" fillId="0" borderId="51" xfId="10" applyBorder="1"/>
    <xf numFmtId="167" fontId="33" fillId="11" borderId="0" xfId="0" applyNumberFormat="1" applyFont="1" applyFill="1"/>
    <xf numFmtId="167" fontId="32" fillId="11" borderId="0" xfId="0" applyNumberFormat="1" applyFont="1" applyFill="1"/>
    <xf numFmtId="167" fontId="17" fillId="11" borderId="0" xfId="10" applyNumberFormat="1" applyFill="1"/>
    <xf numFmtId="192" fontId="17" fillId="0" borderId="0" xfId="2" applyNumberFormat="1" applyFont="1"/>
    <xf numFmtId="10" fontId="21" fillId="0" borderId="0" xfId="5" applyNumberFormat="1" applyFont="1" applyFill="1" applyBorder="1"/>
    <xf numFmtId="0" fontId="21" fillId="0" borderId="48" xfId="10" applyFont="1" applyBorder="1" applyAlignment="1">
      <alignment horizontal="right"/>
    </xf>
    <xf numFmtId="196" fontId="13" fillId="0" borderId="48" xfId="10" applyNumberFormat="1" applyFont="1" applyBorder="1"/>
    <xf numFmtId="167" fontId="17" fillId="0" borderId="0" xfId="11" applyNumberFormat="1"/>
    <xf numFmtId="0" fontId="17" fillId="0" borderId="49" xfId="10" applyBorder="1"/>
    <xf numFmtId="0" fontId="45" fillId="0" borderId="4" xfId="10" applyFont="1" applyBorder="1"/>
    <xf numFmtId="0" fontId="23" fillId="0" borderId="0" xfId="10" applyFont="1" applyAlignment="1">
      <alignment horizontal="center"/>
    </xf>
    <xf numFmtId="0" fontId="42" fillId="0" borderId="0" xfId="10" applyFont="1"/>
    <xf numFmtId="166" fontId="13" fillId="0" borderId="0" xfId="10" applyNumberFormat="1" applyFont="1"/>
    <xf numFmtId="44" fontId="13" fillId="0" borderId="37" xfId="1" applyFont="1" applyFill="1" applyBorder="1"/>
    <xf numFmtId="167" fontId="21" fillId="0" borderId="17" xfId="1" applyNumberFormat="1" applyFont="1" applyFill="1" applyBorder="1"/>
    <xf numFmtId="44" fontId="21" fillId="0" borderId="0" xfId="1" applyFont="1"/>
    <xf numFmtId="0" fontId="21" fillId="0" borderId="50" xfId="10" applyFont="1" applyBorder="1" applyAlignment="1">
      <alignment horizontal="right"/>
    </xf>
    <xf numFmtId="2" fontId="1" fillId="0" borderId="9" xfId="1" applyNumberFormat="1" applyFont="1" applyFill="1" applyBorder="1" applyAlignment="1">
      <alignment horizontal="center" vertical="center"/>
    </xf>
    <xf numFmtId="2" fontId="1" fillId="0" borderId="13" xfId="1" applyNumberFormat="1" applyFont="1" applyFill="1" applyBorder="1" applyAlignment="1">
      <alignment horizontal="center" vertical="center"/>
    </xf>
    <xf numFmtId="2" fontId="1" fillId="0" borderId="16" xfId="1" applyNumberFormat="1" applyFont="1" applyFill="1" applyBorder="1" applyAlignment="1">
      <alignment horizontal="center" vertical="center"/>
    </xf>
    <xf numFmtId="44" fontId="0" fillId="2" borderId="0" xfId="1" applyFont="1" applyFill="1" applyAlignment="1">
      <alignment horizontal="center"/>
    </xf>
    <xf numFmtId="0" fontId="0" fillId="0" borderId="0" xfId="0" applyAlignment="1">
      <alignment wrapText="1"/>
    </xf>
    <xf numFmtId="44" fontId="0" fillId="0" borderId="5" xfId="1" applyFont="1" applyFill="1" applyBorder="1"/>
    <xf numFmtId="0" fontId="51" fillId="0" borderId="6" xfId="0" applyFont="1" applyBorder="1"/>
    <xf numFmtId="44" fontId="13" fillId="0" borderId="48" xfId="10" applyNumberFormat="1" applyFont="1" applyBorder="1"/>
    <xf numFmtId="17" fontId="0" fillId="2" borderId="0" xfId="0" applyNumberFormat="1" applyFill="1" applyAlignment="1">
      <alignment horizontal="center"/>
    </xf>
    <xf numFmtId="165" fontId="0" fillId="4" borderId="0" xfId="1" applyNumberFormat="1" applyFont="1" applyFill="1" applyBorder="1"/>
    <xf numFmtId="164" fontId="0" fillId="2" borderId="0" xfId="0" applyNumberFormat="1" applyFill="1" applyAlignment="1">
      <alignment horizontal="center"/>
    </xf>
    <xf numFmtId="189" fontId="0" fillId="2" borderId="0" xfId="5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 applyAlignment="1">
      <alignment wrapText="1"/>
    </xf>
    <xf numFmtId="9" fontId="0" fillId="2" borderId="0" xfId="5" applyFont="1" applyFill="1" applyAlignment="1">
      <alignment horizontal="center"/>
    </xf>
    <xf numFmtId="10" fontId="0" fillId="2" borderId="0" xfId="5" applyNumberFormat="1" applyFont="1" applyFill="1" applyAlignment="1">
      <alignment horizontal="center"/>
    </xf>
    <xf numFmtId="0" fontId="31" fillId="0" borderId="30" xfId="11" applyFont="1" applyBorder="1" applyAlignment="1">
      <alignment horizontal="left"/>
    </xf>
    <xf numFmtId="0" fontId="52" fillId="0" borderId="31" xfId="11" applyFont="1" applyBorder="1" applyAlignment="1">
      <alignment horizontal="center"/>
    </xf>
    <xf numFmtId="0" fontId="21" fillId="0" borderId="31" xfId="13" applyFont="1" applyBorder="1"/>
    <xf numFmtId="0" fontId="46" fillId="0" borderId="31" xfId="13" applyFont="1" applyBorder="1"/>
    <xf numFmtId="0" fontId="17" fillId="0" borderId="31" xfId="10" applyBorder="1"/>
    <xf numFmtId="0" fontId="17" fillId="0" borderId="32" xfId="10" applyBorder="1"/>
    <xf numFmtId="10" fontId="21" fillId="0" borderId="15" xfId="5" applyNumberFormat="1" applyFont="1" applyFill="1" applyBorder="1" applyAlignment="1">
      <alignment horizontal="center" vertical="center"/>
    </xf>
    <xf numFmtId="166" fontId="21" fillId="0" borderId="0" xfId="15" applyNumberFormat="1" applyFont="1" applyFill="1" applyBorder="1" applyAlignment="1">
      <alignment horizontal="center" vertical="center"/>
    </xf>
    <xf numFmtId="166" fontId="21" fillId="0" borderId="14" xfId="15" applyNumberFormat="1" applyFont="1" applyFill="1" applyBorder="1"/>
    <xf numFmtId="10" fontId="21" fillId="0" borderId="19" xfId="5" applyNumberFormat="1" applyFont="1" applyFill="1" applyBorder="1" applyAlignment="1">
      <alignment horizontal="center" vertical="center"/>
    </xf>
    <xf numFmtId="166" fontId="21" fillId="0" borderId="17" xfId="15" applyNumberFormat="1" applyFont="1" applyFill="1" applyBorder="1" applyAlignment="1">
      <alignment horizontal="center" vertical="center"/>
    </xf>
    <xf numFmtId="166" fontId="21" fillId="0" borderId="18" xfId="15" applyNumberFormat="1" applyFont="1" applyFill="1" applyBorder="1"/>
    <xf numFmtId="10" fontId="21" fillId="0" borderId="0" xfId="5" applyNumberFormat="1" applyFont="1" applyFill="1" applyBorder="1" applyAlignment="1">
      <alignment horizontal="center" vertical="center"/>
    </xf>
    <xf numFmtId="166" fontId="21" fillId="0" borderId="23" xfId="15" applyNumberFormat="1" applyFont="1" applyFill="1" applyBorder="1"/>
    <xf numFmtId="193" fontId="21" fillId="0" borderId="14" xfId="5" applyNumberFormat="1" applyFont="1" applyFill="1" applyBorder="1"/>
    <xf numFmtId="43" fontId="21" fillId="0" borderId="22" xfId="15" applyFont="1" applyFill="1" applyBorder="1" applyAlignment="1">
      <alignment horizontal="center"/>
    </xf>
    <xf numFmtId="0" fontId="32" fillId="0" borderId="41" xfId="0" applyFont="1" applyBorder="1" applyAlignment="1">
      <alignment horizontal="right" indent="1"/>
    </xf>
    <xf numFmtId="0" fontId="32" fillId="0" borderId="42" xfId="0" applyFont="1" applyBorder="1" applyAlignment="1">
      <alignment horizontal="right" indent="1"/>
    </xf>
    <xf numFmtId="166" fontId="21" fillId="0" borderId="22" xfId="15" applyNumberFormat="1" applyFont="1" applyFill="1" applyBorder="1" applyAlignment="1">
      <alignment horizontal="center"/>
    </xf>
    <xf numFmtId="166" fontId="32" fillId="0" borderId="0" xfId="0" applyNumberFormat="1" applyFont="1"/>
    <xf numFmtId="0" fontId="32" fillId="0" borderId="41" xfId="0" applyFont="1" applyBorder="1" applyAlignment="1">
      <alignment horizontal="left" vertical="top"/>
    </xf>
    <xf numFmtId="166" fontId="21" fillId="0" borderId="0" xfId="15" applyNumberFormat="1" applyFont="1" applyFill="1" applyBorder="1" applyAlignment="1">
      <alignment horizontal="center"/>
    </xf>
    <xf numFmtId="0" fontId="21" fillId="0" borderId="24" xfId="10" applyFont="1" applyBorder="1" applyAlignment="1">
      <alignment horizontal="right"/>
    </xf>
    <xf numFmtId="17" fontId="21" fillId="0" borderId="21" xfId="11" applyNumberFormat="1" applyFont="1" applyBorder="1" applyAlignment="1">
      <alignment horizontal="center"/>
    </xf>
    <xf numFmtId="167" fontId="21" fillId="0" borderId="16" xfId="10" applyNumberFormat="1" applyFont="1" applyBorder="1"/>
    <xf numFmtId="167" fontId="17" fillId="0" borderId="10" xfId="10" applyNumberFormat="1" applyBorder="1"/>
    <xf numFmtId="0" fontId="21" fillId="0" borderId="4" xfId="10" applyFont="1" applyBorder="1" applyAlignment="1">
      <alignment horizontal="right"/>
    </xf>
    <xf numFmtId="173" fontId="17" fillId="0" borderId="0" xfId="12" applyNumberFormat="1" applyFont="1" applyFill="1" applyBorder="1"/>
    <xf numFmtId="167" fontId="21" fillId="0" borderId="16" xfId="12" applyFont="1" applyFill="1" applyBorder="1"/>
    <xf numFmtId="10" fontId="17" fillId="0" borderId="22" xfId="11" applyNumberFormat="1" applyBorder="1"/>
    <xf numFmtId="167" fontId="17" fillId="0" borderId="22" xfId="12" applyFont="1" applyFill="1" applyBorder="1"/>
    <xf numFmtId="167" fontId="21" fillId="0" borderId="22" xfId="12" applyFont="1" applyFill="1" applyBorder="1"/>
    <xf numFmtId="10" fontId="21" fillId="0" borderId="16" xfId="5" applyNumberFormat="1" applyFont="1" applyFill="1" applyBorder="1"/>
    <xf numFmtId="167" fontId="21" fillId="0" borderId="0" xfId="12" applyFont="1" applyFill="1" applyBorder="1"/>
    <xf numFmtId="167" fontId="17" fillId="0" borderId="23" xfId="0" applyNumberFormat="1" applyFont="1" applyBorder="1" applyProtection="1">
      <protection locked="0"/>
    </xf>
    <xf numFmtId="173" fontId="17" fillId="0" borderId="5" xfId="12" applyNumberFormat="1" applyFont="1" applyFill="1" applyBorder="1"/>
    <xf numFmtId="167" fontId="21" fillId="0" borderId="23" xfId="0" applyNumberFormat="1" applyFont="1" applyBorder="1"/>
    <xf numFmtId="44" fontId="21" fillId="0" borderId="27" xfId="1" applyFont="1" applyFill="1" applyBorder="1" applyAlignment="1">
      <alignment horizontal="center"/>
    </xf>
    <xf numFmtId="166" fontId="21" fillId="0" borderId="27" xfId="2" applyNumberFormat="1" applyFont="1" applyFill="1" applyBorder="1" applyAlignment="1">
      <alignment horizontal="right"/>
    </xf>
    <xf numFmtId="166" fontId="21" fillId="0" borderId="28" xfId="2" applyNumberFormat="1" applyFont="1" applyFill="1" applyBorder="1"/>
    <xf numFmtId="189" fontId="21" fillId="0" borderId="8" xfId="5" applyNumberFormat="1" applyFont="1" applyFill="1" applyBorder="1" applyAlignment="1">
      <alignment horizontal="right"/>
    </xf>
    <xf numFmtId="0" fontId="23" fillId="0" borderId="10" xfId="0" applyFont="1" applyBorder="1" applyAlignment="1">
      <alignment horizontal="right"/>
    </xf>
    <xf numFmtId="0" fontId="34" fillId="0" borderId="10" xfId="0" applyFont="1" applyBorder="1" applyAlignment="1">
      <alignment horizontal="center"/>
    </xf>
    <xf numFmtId="0" fontId="34" fillId="0" borderId="25" xfId="0" applyFont="1" applyBorder="1" applyAlignment="1">
      <alignment horizontal="center"/>
    </xf>
    <xf numFmtId="0" fontId="21" fillId="0" borderId="36" xfId="0" applyFont="1" applyBorder="1" applyAlignment="1">
      <alignment vertical="top"/>
    </xf>
    <xf numFmtId="0" fontId="21" fillId="0" borderId="37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0" fontId="21" fillId="0" borderId="12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1" fillId="0" borderId="14" xfId="0" applyFont="1" applyBorder="1" applyAlignment="1">
      <alignment horizontal="center" vertical="top" wrapText="1"/>
    </xf>
    <xf numFmtId="0" fontId="17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/>
    <xf numFmtId="166" fontId="21" fillId="0" borderId="44" xfId="15" applyNumberFormat="1" applyFont="1" applyFill="1" applyBorder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76" fontId="21" fillId="0" borderId="22" xfId="0" applyNumberFormat="1" applyFont="1" applyBorder="1" applyAlignment="1">
      <alignment horizontal="right" vertical="center"/>
    </xf>
    <xf numFmtId="9" fontId="13" fillId="0" borderId="0" xfId="10" applyNumberFormat="1" applyFont="1" applyAlignment="1">
      <alignment horizontal="right"/>
    </xf>
    <xf numFmtId="9" fontId="13" fillId="0" borderId="0" xfId="10" applyNumberFormat="1" applyFont="1" applyAlignment="1">
      <alignment horizontal="center"/>
    </xf>
    <xf numFmtId="9" fontId="31" fillId="0" borderId="0" xfId="10" applyNumberFormat="1" applyFont="1" applyAlignment="1">
      <alignment horizontal="right"/>
    </xf>
    <xf numFmtId="170" fontId="31" fillId="0" borderId="0" xfId="10" applyNumberFormat="1" applyFont="1" applyAlignment="1">
      <alignment horizontal="center"/>
    </xf>
    <xf numFmtId="9" fontId="31" fillId="0" borderId="0" xfId="10" applyNumberFormat="1" applyFont="1" applyAlignment="1">
      <alignment horizontal="center"/>
    </xf>
    <xf numFmtId="176" fontId="21" fillId="0" borderId="22" xfId="0" applyNumberFormat="1" applyFont="1" applyBorder="1" applyAlignment="1">
      <alignment horizontal="center" vertical="center"/>
    </xf>
    <xf numFmtId="166" fontId="21" fillId="0" borderId="14" xfId="15" applyNumberFormat="1" applyFont="1" applyFill="1" applyBorder="1" applyAlignment="1">
      <alignment horizontal="center" vertical="center"/>
    </xf>
    <xf numFmtId="166" fontId="21" fillId="0" borderId="18" xfId="15" applyNumberFormat="1" applyFont="1" applyFill="1" applyBorder="1" applyAlignment="1">
      <alignment horizontal="center" vertical="center"/>
    </xf>
    <xf numFmtId="166" fontId="21" fillId="0" borderId="23" xfId="15" applyNumberFormat="1" applyFont="1" applyFill="1" applyBorder="1" applyAlignment="1">
      <alignment horizontal="center" vertical="center"/>
    </xf>
    <xf numFmtId="193" fontId="21" fillId="0" borderId="14" xfId="5" applyNumberFormat="1" applyFont="1" applyFill="1" applyBorder="1" applyAlignment="1">
      <alignment horizontal="center" vertical="center"/>
    </xf>
    <xf numFmtId="166" fontId="13" fillId="0" borderId="22" xfId="2" applyNumberFormat="1" applyFont="1" applyFill="1" applyBorder="1"/>
    <xf numFmtId="44" fontId="17" fillId="0" borderId="0" xfId="1" applyFont="1" applyFill="1" applyBorder="1"/>
    <xf numFmtId="44" fontId="21" fillId="0" borderId="48" xfId="10" applyNumberFormat="1" applyFont="1" applyBorder="1"/>
    <xf numFmtId="44" fontId="13" fillId="0" borderId="9" xfId="1" applyFont="1" applyFill="1" applyBorder="1"/>
    <xf numFmtId="44" fontId="21" fillId="0" borderId="37" xfId="1" applyFont="1" applyFill="1" applyBorder="1"/>
    <xf numFmtId="167" fontId="21" fillId="0" borderId="0" xfId="12" applyFont="1" applyFill="1" applyBorder="1" applyAlignment="1">
      <alignment horizontal="right"/>
    </xf>
    <xf numFmtId="0" fontId="17" fillId="0" borderId="41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167" fontId="17" fillId="0" borderId="41" xfId="9" applyFont="1" applyFill="1" applyBorder="1"/>
    <xf numFmtId="167" fontId="21" fillId="0" borderId="0" xfId="0" applyNumberFormat="1" applyFont="1"/>
    <xf numFmtId="167" fontId="17" fillId="0" borderId="41" xfId="0" applyNumberFormat="1" applyFont="1" applyBorder="1"/>
    <xf numFmtId="0" fontId="32" fillId="11" borderId="33" xfId="0" applyFont="1" applyFill="1" applyBorder="1" applyAlignment="1">
      <alignment horizontal="left" vertical="top"/>
    </xf>
    <xf numFmtId="0" fontId="17" fillId="0" borderId="41" xfId="0" applyFont="1" applyBorder="1"/>
    <xf numFmtId="0" fontId="17" fillId="0" borderId="41" xfId="0" applyFont="1" applyBorder="1" applyAlignment="1">
      <alignment horizontal="right" vertical="top" wrapText="1" indent="1"/>
    </xf>
    <xf numFmtId="0" fontId="21" fillId="0" borderId="22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right" inden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94" fontId="21" fillId="0" borderId="41" xfId="0" applyNumberFormat="1" applyFont="1" applyBorder="1" applyAlignment="1">
      <alignment horizontal="right" indent="1"/>
    </xf>
    <xf numFmtId="166" fontId="21" fillId="0" borderId="15" xfId="15" applyNumberFormat="1" applyFont="1" applyFill="1" applyBorder="1" applyAlignment="1">
      <alignment horizontal="center" vertical="center"/>
    </xf>
    <xf numFmtId="43" fontId="17" fillId="0" borderId="14" xfId="15" applyFont="1" applyFill="1" applyBorder="1" applyAlignment="1">
      <alignment horizontal="center" vertical="center"/>
    </xf>
    <xf numFmtId="43" fontId="17" fillId="0" borderId="0" xfId="2" applyFont="1" applyFill="1" applyBorder="1" applyAlignment="1">
      <alignment horizontal="center" vertical="center"/>
    </xf>
    <xf numFmtId="0" fontId="21" fillId="0" borderId="41" xfId="0" applyFont="1" applyBorder="1" applyAlignment="1">
      <alignment horizontal="right" indent="1"/>
    </xf>
    <xf numFmtId="166" fontId="21" fillId="0" borderId="19" xfId="15" applyNumberFormat="1" applyFont="1" applyFill="1" applyBorder="1" applyAlignment="1">
      <alignment horizontal="center" vertical="center"/>
    </xf>
    <xf numFmtId="43" fontId="17" fillId="0" borderId="18" xfId="15" applyFont="1" applyFill="1" applyBorder="1" applyAlignment="1">
      <alignment horizontal="center" vertical="center"/>
    </xf>
    <xf numFmtId="0" fontId="17" fillId="0" borderId="41" xfId="0" applyFont="1" applyBorder="1" applyAlignment="1">
      <alignment horizontal="right"/>
    </xf>
    <xf numFmtId="0" fontId="17" fillId="0" borderId="45" xfId="0" applyFont="1" applyBorder="1" applyAlignment="1">
      <alignment horizontal="right"/>
    </xf>
    <xf numFmtId="0" fontId="17" fillId="0" borderId="17" xfId="0" applyFont="1" applyBorder="1"/>
    <xf numFmtId="0" fontId="21" fillId="0" borderId="33" xfId="0" applyFont="1" applyBorder="1" applyAlignment="1">
      <alignment horizontal="left" vertical="top"/>
    </xf>
    <xf numFmtId="0" fontId="17" fillId="0" borderId="2" xfId="0" applyFont="1" applyBorder="1"/>
    <xf numFmtId="0" fontId="17" fillId="0" borderId="34" xfId="0" applyFont="1" applyBorder="1"/>
    <xf numFmtId="0" fontId="17" fillId="0" borderId="35" xfId="0" applyFont="1" applyBorder="1"/>
    <xf numFmtId="0" fontId="21" fillId="0" borderId="36" xfId="0" applyFont="1" applyBorder="1" applyAlignment="1">
      <alignment horizontal="left" vertical="top"/>
    </xf>
    <xf numFmtId="0" fontId="17" fillId="0" borderId="37" xfId="0" applyFont="1" applyBorder="1"/>
    <xf numFmtId="0" fontId="17" fillId="0" borderId="23" xfId="0" applyFont="1" applyBorder="1"/>
    <xf numFmtId="0" fontId="17" fillId="0" borderId="10" xfId="0" applyFont="1" applyBorder="1"/>
    <xf numFmtId="0" fontId="17" fillId="0" borderId="38" xfId="0" applyFont="1" applyBorder="1"/>
    <xf numFmtId="0" fontId="21" fillId="0" borderId="36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189" fontId="21" fillId="0" borderId="22" xfId="5" applyNumberFormat="1" applyFont="1" applyFill="1" applyBorder="1"/>
    <xf numFmtId="0" fontId="21" fillId="0" borderId="42" xfId="0" applyFont="1" applyBorder="1" applyAlignment="1">
      <alignment horizontal="right" indent="1"/>
    </xf>
    <xf numFmtId="43" fontId="21" fillId="0" borderId="43" xfId="15" applyFont="1" applyFill="1" applyBorder="1" applyAlignment="1">
      <alignment horizontal="center"/>
    </xf>
    <xf numFmtId="189" fontId="21" fillId="0" borderId="43" xfId="5" applyNumberFormat="1" applyFont="1" applyFill="1" applyBorder="1"/>
    <xf numFmtId="189" fontId="21" fillId="0" borderId="16" xfId="5" applyNumberFormat="1" applyFont="1" applyFill="1" applyBorder="1"/>
    <xf numFmtId="166" fontId="21" fillId="0" borderId="0" xfId="0" applyNumberFormat="1" applyFont="1"/>
    <xf numFmtId="0" fontId="21" fillId="0" borderId="41" xfId="0" applyFont="1" applyBorder="1" applyAlignment="1">
      <alignment horizontal="left" vertical="top"/>
    </xf>
    <xf numFmtId="170" fontId="21" fillId="0" borderId="0" xfId="0" applyNumberFormat="1" applyFont="1" applyAlignment="1">
      <alignment horizontal="center"/>
    </xf>
    <xf numFmtId="0" fontId="53" fillId="0" borderId="41" xfId="0" applyFont="1" applyBorder="1" applyAlignment="1">
      <alignment horizontal="left" vertical="top"/>
    </xf>
    <xf numFmtId="0" fontId="17" fillId="0" borderId="14" xfId="0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/>
    </xf>
    <xf numFmtId="172" fontId="17" fillId="0" borderId="0" xfId="0" applyNumberFormat="1" applyFont="1" applyAlignment="1">
      <alignment horizontal="center" vertical="center"/>
    </xf>
    <xf numFmtId="172" fontId="17" fillId="0" borderId="14" xfId="0" applyNumberFormat="1" applyFont="1" applyBorder="1" applyAlignment="1">
      <alignment horizontal="center" vertical="center"/>
    </xf>
    <xf numFmtId="0" fontId="17" fillId="0" borderId="18" xfId="0" applyFont="1" applyBorder="1"/>
    <xf numFmtId="0" fontId="17" fillId="0" borderId="46" xfId="0" applyFont="1" applyBorder="1"/>
    <xf numFmtId="0" fontId="21" fillId="0" borderId="48" xfId="0" applyFont="1" applyBorder="1" applyAlignment="1">
      <alignment horizontal="center" vertical="center" wrapText="1"/>
    </xf>
    <xf numFmtId="165" fontId="13" fillId="0" borderId="0" xfId="10" applyNumberFormat="1" applyFont="1"/>
    <xf numFmtId="44" fontId="13" fillId="0" borderId="0" xfId="1" applyFont="1" applyFill="1"/>
    <xf numFmtId="44" fontId="13" fillId="0" borderId="0" xfId="1" applyFont="1" applyFill="1" applyBorder="1"/>
    <xf numFmtId="44" fontId="21" fillId="0" borderId="0" xfId="1" applyFont="1" applyFill="1"/>
    <xf numFmtId="170" fontId="1" fillId="0" borderId="13" xfId="5" applyNumberFormat="1" applyFont="1" applyFill="1" applyBorder="1" applyAlignment="1">
      <alignment horizontal="center"/>
    </xf>
    <xf numFmtId="170" fontId="1" fillId="0" borderId="16" xfId="5" applyNumberFormat="1" applyFont="1" applyFill="1" applyBorder="1" applyAlignment="1">
      <alignment horizontal="center"/>
    </xf>
    <xf numFmtId="170" fontId="1" fillId="0" borderId="9" xfId="5" applyNumberFormat="1" applyFont="1" applyFill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7" fontId="21" fillId="16" borderId="0" xfId="1" applyNumberFormat="1" applyFont="1" applyFill="1" applyBorder="1"/>
    <xf numFmtId="10" fontId="21" fillId="0" borderId="0" xfId="10" applyNumberFormat="1" applyFont="1"/>
    <xf numFmtId="189" fontId="27" fillId="0" borderId="0" xfId="5" applyNumberFormat="1" applyFont="1" applyFill="1" applyBorder="1"/>
    <xf numFmtId="166" fontId="21" fillId="0" borderId="0" xfId="0" applyNumberFormat="1" applyFont="1" applyAlignment="1">
      <alignment horizontal="center"/>
    </xf>
    <xf numFmtId="197" fontId="21" fillId="0" borderId="16" xfId="10" applyNumberFormat="1" applyFont="1" applyBorder="1"/>
    <xf numFmtId="166" fontId="20" fillId="0" borderId="14" xfId="2" applyNumberFormat="1" applyFont="1" applyFill="1" applyBorder="1"/>
    <xf numFmtId="44" fontId="17" fillId="16" borderId="50" xfId="1" applyFont="1" applyFill="1" applyBorder="1"/>
    <xf numFmtId="0" fontId="21" fillId="0" borderId="50" xfId="10" applyFont="1" applyBorder="1"/>
    <xf numFmtId="167" fontId="21" fillId="16" borderId="50" xfId="1" applyNumberFormat="1" applyFont="1" applyFill="1" applyBorder="1"/>
    <xf numFmtId="10" fontId="21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164" fontId="17" fillId="0" borderId="0" xfId="5" applyNumberFormat="1" applyFont="1" applyFill="1" applyBorder="1" applyAlignment="1">
      <alignment horizontal="center"/>
    </xf>
    <xf numFmtId="44" fontId="0" fillId="2" borderId="0" xfId="1" applyFont="1" applyFill="1"/>
    <xf numFmtId="44" fontId="0" fillId="0" borderId="5" xfId="1" applyFont="1" applyBorder="1"/>
    <xf numFmtId="1" fontId="0" fillId="0" borderId="0" xfId="2" applyNumberFormat="1" applyFont="1" applyBorder="1" applyAlignment="1">
      <alignment horizontal="center"/>
    </xf>
    <xf numFmtId="1" fontId="51" fillId="0" borderId="0" xfId="2" applyNumberFormat="1" applyFont="1" applyBorder="1" applyAlignment="1">
      <alignment horizontal="center"/>
    </xf>
    <xf numFmtId="167" fontId="51" fillId="0" borderId="0" xfId="1" applyNumberFormat="1" applyFont="1" applyBorder="1"/>
    <xf numFmtId="167" fontId="51" fillId="0" borderId="0" xfId="1" applyNumberFormat="1" applyFont="1" applyFill="1" applyBorder="1"/>
    <xf numFmtId="167" fontId="51" fillId="0" borderId="0" xfId="1" applyNumberFormat="1" applyFont="1" applyBorder="1" applyAlignment="1">
      <alignment horizontal="center"/>
    </xf>
    <xf numFmtId="167" fontId="51" fillId="4" borderId="0" xfId="1" applyNumberFormat="1" applyFont="1" applyFill="1" applyBorder="1"/>
    <xf numFmtId="44" fontId="0" fillId="0" borderId="0" xfId="1" applyFont="1" applyBorder="1"/>
    <xf numFmtId="1" fontId="0" fillId="0" borderId="5" xfId="2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0" borderId="5" xfId="0" applyNumberFormat="1" applyBorder="1" applyAlignment="1">
      <alignment horizontal="center"/>
    </xf>
    <xf numFmtId="167" fontId="0" fillId="0" borderId="5" xfId="0" applyNumberFormat="1" applyBorder="1"/>
    <xf numFmtId="167" fontId="0" fillId="0" borderId="5" xfId="1" applyNumberFormat="1" applyFont="1" applyFill="1" applyBorder="1"/>
    <xf numFmtId="173" fontId="0" fillId="0" borderId="5" xfId="0" applyNumberFormat="1" applyBorder="1"/>
    <xf numFmtId="167" fontId="0" fillId="0" borderId="5" xfId="1" applyNumberFormat="1" applyFont="1" applyBorder="1" applyAlignment="1">
      <alignment horizontal="center"/>
    </xf>
    <xf numFmtId="167" fontId="0" fillId="0" borderId="5" xfId="1" applyNumberFormat="1" applyFont="1" applyBorder="1"/>
    <xf numFmtId="167" fontId="51" fillId="0" borderId="7" xfId="0" applyNumberFormat="1" applyFont="1" applyBorder="1"/>
    <xf numFmtId="167" fontId="0" fillId="0" borderId="8" xfId="0" applyNumberFormat="1" applyBorder="1"/>
    <xf numFmtId="44" fontId="51" fillId="0" borderId="0" xfId="1" applyFont="1" applyBorder="1"/>
    <xf numFmtId="167" fontId="1" fillId="0" borderId="0" xfId="1" applyNumberFormat="1" applyFont="1" applyFill="1" applyBorder="1"/>
    <xf numFmtId="44" fontId="1" fillId="0" borderId="11" xfId="1" applyFont="1" applyFill="1" applyBorder="1"/>
    <xf numFmtId="44" fontId="1" fillId="0" borderId="14" xfId="1" applyFont="1" applyFill="1" applyBorder="1"/>
    <xf numFmtId="44" fontId="1" fillId="0" borderId="18" xfId="1" applyFont="1" applyFill="1" applyBorder="1"/>
    <xf numFmtId="164" fontId="0" fillId="0" borderId="9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2" fontId="18" fillId="0" borderId="14" xfId="1" applyNumberFormat="1" applyFont="1" applyFill="1" applyBorder="1"/>
    <xf numFmtId="167" fontId="0" fillId="2" borderId="5" xfId="1" applyNumberFormat="1" applyFont="1" applyFill="1" applyBorder="1"/>
    <xf numFmtId="0" fontId="51" fillId="0" borderId="0" xfId="0" applyFont="1" applyAlignment="1">
      <alignment horizontal="center" wrapText="1"/>
    </xf>
    <xf numFmtId="164" fontId="51" fillId="0" borderId="0" xfId="0" applyNumberFormat="1" applyFont="1" applyAlignment="1">
      <alignment horizontal="center"/>
    </xf>
    <xf numFmtId="0" fontId="51" fillId="0" borderId="0" xfId="0" applyFont="1" applyAlignment="1">
      <alignment horizontal="center"/>
    </xf>
    <xf numFmtId="9" fontId="17" fillId="0" borderId="0" xfId="5" applyFont="1"/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4" fontId="51" fillId="4" borderId="0" xfId="0" applyNumberFormat="1" applyFont="1" applyFill="1" applyAlignment="1">
      <alignment horizontal="center"/>
    </xf>
    <xf numFmtId="165" fontId="51" fillId="0" borderId="0" xfId="1" applyNumberFormat="1" applyFont="1" applyBorder="1"/>
    <xf numFmtId="0" fontId="51" fillId="0" borderId="4" xfId="0" applyFont="1" applyBorder="1"/>
    <xf numFmtId="44" fontId="51" fillId="0" borderId="5" xfId="1" applyFont="1" applyFill="1" applyBorder="1"/>
    <xf numFmtId="0" fontId="0" fillId="0" borderId="6" xfId="0" applyBorder="1"/>
    <xf numFmtId="164" fontId="0" fillId="4" borderId="7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7" xfId="1" applyNumberFormat="1" applyFont="1" applyBorder="1"/>
    <xf numFmtId="44" fontId="0" fillId="0" borderId="8" xfId="1" applyFont="1" applyFill="1" applyBorder="1"/>
    <xf numFmtId="170" fontId="0" fillId="2" borderId="0" xfId="5" applyNumberFormat="1" applyFont="1" applyFill="1" applyAlignment="1">
      <alignment horizontal="center"/>
    </xf>
    <xf numFmtId="44" fontId="0" fillId="0" borderId="0" xfId="1" applyFont="1" applyFill="1" applyAlignment="1">
      <alignment horizontal="center"/>
    </xf>
    <xf numFmtId="165" fontId="51" fillId="4" borderId="0" xfId="1" applyNumberFormat="1" applyFont="1" applyFill="1" applyBorder="1"/>
    <xf numFmtId="0" fontId="5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78" fontId="17" fillId="0" borderId="0" xfId="9" applyNumberFormat="1" applyFont="1" applyFill="1" applyBorder="1" applyAlignment="1">
      <alignment horizontal="center"/>
    </xf>
    <xf numFmtId="0" fontId="42" fillId="11" borderId="12" xfId="0" applyFont="1" applyFill="1" applyBorder="1" applyAlignment="1">
      <alignment horizontal="center"/>
    </xf>
    <xf numFmtId="0" fontId="42" fillId="11" borderId="11" xfId="0" applyFont="1" applyFill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wrapText="1"/>
    </xf>
    <xf numFmtId="10" fontId="0" fillId="0" borderId="0" xfId="0" applyNumberFormat="1"/>
    <xf numFmtId="167" fontId="33" fillId="0" borderId="0" xfId="0" applyNumberFormat="1" applyFont="1" applyBorder="1"/>
    <xf numFmtId="167" fontId="32" fillId="0" borderId="0" xfId="0" applyNumberFormat="1" applyFont="1" applyBorder="1"/>
    <xf numFmtId="167" fontId="17" fillId="0" borderId="0" xfId="10" applyNumberFormat="1" applyBorder="1"/>
    <xf numFmtId="0" fontId="21" fillId="0" borderId="0" xfId="10" applyFont="1" applyBorder="1" applyAlignment="1">
      <alignment horizontal="right"/>
    </xf>
    <xf numFmtId="0" fontId="21" fillId="0" borderId="0" xfId="10" applyFont="1" applyBorder="1"/>
    <xf numFmtId="0" fontId="17" fillId="0" borderId="0" xfId="10" applyBorder="1"/>
    <xf numFmtId="0" fontId="31" fillId="0" borderId="1" xfId="11" applyFont="1" applyBorder="1" applyAlignment="1">
      <alignment horizontal="left"/>
    </xf>
    <xf numFmtId="0" fontId="52" fillId="0" borderId="2" xfId="11" applyFont="1" applyBorder="1" applyAlignment="1">
      <alignment horizontal="center"/>
    </xf>
    <xf numFmtId="0" fontId="21" fillId="0" borderId="2" xfId="13" applyFont="1" applyBorder="1"/>
    <xf numFmtId="0" fontId="46" fillId="0" borderId="2" xfId="13" applyFont="1" applyBorder="1"/>
    <xf numFmtId="0" fontId="32" fillId="11" borderId="1" xfId="0" applyFont="1" applyFill="1" applyBorder="1" applyAlignment="1">
      <alignment horizontal="left" vertical="top"/>
    </xf>
    <xf numFmtId="0" fontId="33" fillId="11" borderId="3" xfId="0" applyFont="1" applyFill="1" applyBorder="1"/>
    <xf numFmtId="0" fontId="33" fillId="11" borderId="24" xfId="0" applyFont="1" applyFill="1" applyBorder="1"/>
    <xf numFmtId="0" fontId="33" fillId="11" borderId="5" xfId="0" applyFont="1" applyFill="1" applyBorder="1"/>
    <xf numFmtId="0" fontId="33" fillId="11" borderId="4" xfId="0" applyFont="1" applyFill="1" applyBorder="1"/>
    <xf numFmtId="0" fontId="33" fillId="0" borderId="0" xfId="0" applyFont="1" applyBorder="1"/>
    <xf numFmtId="0" fontId="21" fillId="0" borderId="0" xfId="0" applyFont="1" applyBorder="1" applyAlignment="1">
      <alignment horizontal="center" vertical="top" wrapText="1"/>
    </xf>
    <xf numFmtId="0" fontId="32" fillId="0" borderId="4" xfId="0" applyFont="1" applyBorder="1" applyAlignment="1">
      <alignment horizontal="right" indent="1"/>
    </xf>
    <xf numFmtId="0" fontId="21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43" fontId="33" fillId="0" borderId="0" xfId="0" applyNumberFormat="1" applyFont="1" applyBorder="1"/>
    <xf numFmtId="0" fontId="32" fillId="0" borderId="6" xfId="0" applyFont="1" applyBorder="1" applyAlignment="1">
      <alignment horizontal="right" indent="1"/>
    </xf>
    <xf numFmtId="176" fontId="21" fillId="0" borderId="0" xfId="0" applyNumberFormat="1" applyFont="1" applyBorder="1" applyAlignment="1">
      <alignment horizontal="center" vertical="center"/>
    </xf>
    <xf numFmtId="0" fontId="17" fillId="0" borderId="0" xfId="0" applyFont="1" applyBorder="1"/>
    <xf numFmtId="0" fontId="21" fillId="0" borderId="0" xfId="0" applyFont="1" applyBorder="1" applyAlignment="1">
      <alignment horizontal="right"/>
    </xf>
    <xf numFmtId="0" fontId="32" fillId="0" borderId="4" xfId="0" applyFont="1" applyBorder="1" applyAlignment="1">
      <alignment horizontal="left" vertical="top"/>
    </xf>
    <xf numFmtId="166" fontId="32" fillId="0" borderId="0" xfId="0" applyNumberFormat="1" applyFont="1" applyBorder="1"/>
    <xf numFmtId="0" fontId="32" fillId="11" borderId="4" xfId="0" applyFont="1" applyFill="1" applyBorder="1" applyAlignment="1">
      <alignment horizontal="left" vertical="top"/>
    </xf>
    <xf numFmtId="0" fontId="39" fillId="0" borderId="0" xfId="0" applyFont="1" applyBorder="1"/>
    <xf numFmtId="0" fontId="41" fillId="11" borderId="4" xfId="0" applyFont="1" applyFill="1" applyBorder="1" applyAlignment="1">
      <alignment horizontal="left" vertical="top"/>
    </xf>
    <xf numFmtId="0" fontId="33" fillId="11" borderId="0" xfId="0" applyFont="1" applyFill="1" applyBorder="1"/>
    <xf numFmtId="0" fontId="17" fillId="11" borderId="4" xfId="0" applyFont="1" applyFill="1" applyBorder="1"/>
    <xf numFmtId="0" fontId="17" fillId="11" borderId="0" xfId="0" applyFont="1" applyFill="1" applyBorder="1"/>
    <xf numFmtId="0" fontId="17" fillId="11" borderId="4" xfId="0" applyFont="1" applyFill="1" applyBorder="1" applyAlignment="1">
      <alignment horizontal="right" vertical="top" wrapText="1" indent="1"/>
    </xf>
    <xf numFmtId="0" fontId="17" fillId="11" borderId="4" xfId="0" applyFont="1" applyFill="1" applyBorder="1" applyAlignment="1">
      <alignment horizontal="right" indent="1"/>
    </xf>
    <xf numFmtId="0" fontId="17" fillId="11" borderId="0" xfId="0" applyFont="1" applyFill="1" applyBorder="1" applyAlignment="1">
      <alignment horizontal="center" vertical="center" wrapText="1"/>
    </xf>
    <xf numFmtId="0" fontId="33" fillId="11" borderId="0" xfId="0" applyFont="1" applyFill="1" applyBorder="1" applyAlignment="1">
      <alignment horizontal="center" vertical="center" wrapText="1"/>
    </xf>
    <xf numFmtId="194" fontId="21" fillId="11" borderId="4" xfId="0" applyNumberFormat="1" applyFont="1" applyFill="1" applyBorder="1" applyAlignment="1">
      <alignment horizontal="right" indent="1"/>
    </xf>
    <xf numFmtId="2" fontId="33" fillId="11" borderId="0" xfId="0" applyNumberFormat="1" applyFont="1" applyFill="1" applyBorder="1" applyAlignment="1">
      <alignment horizontal="center" vertical="center"/>
    </xf>
    <xf numFmtId="172" fontId="33" fillId="11" borderId="0" xfId="0" applyNumberFormat="1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right" indent="1"/>
    </xf>
    <xf numFmtId="0" fontId="17" fillId="11" borderId="4" xfId="0" applyFont="1" applyFill="1" applyBorder="1" applyAlignment="1">
      <alignment horizontal="right"/>
    </xf>
    <xf numFmtId="0" fontId="17" fillId="11" borderId="52" xfId="0" applyFont="1" applyFill="1" applyBorder="1" applyAlignment="1">
      <alignment horizontal="right"/>
    </xf>
    <xf numFmtId="0" fontId="33" fillId="11" borderId="26" xfId="0" applyFont="1" applyFill="1" applyBorder="1"/>
    <xf numFmtId="0" fontId="17" fillId="0" borderId="4" xfId="10" applyBorder="1"/>
    <xf numFmtId="0" fontId="17" fillId="0" borderId="5" xfId="10" applyBorder="1"/>
    <xf numFmtId="0" fontId="46" fillId="0" borderId="0" xfId="10" applyFont="1" applyBorder="1"/>
    <xf numFmtId="0" fontId="21" fillId="0" borderId="0" xfId="11" applyFont="1" applyBorder="1"/>
    <xf numFmtId="0" fontId="47" fillId="0" borderId="0" xfId="10" applyFont="1" applyBorder="1"/>
    <xf numFmtId="0" fontId="17" fillId="0" borderId="4" xfId="11" applyBorder="1"/>
    <xf numFmtId="0" fontId="21" fillId="0" borderId="0" xfId="11" applyFont="1" applyBorder="1" applyAlignment="1">
      <alignment horizontal="right"/>
    </xf>
    <xf numFmtId="0" fontId="34" fillId="0" borderId="4" xfId="11" applyFont="1" applyBorder="1"/>
    <xf numFmtId="0" fontId="17" fillId="0" borderId="4" xfId="11" applyBorder="1" applyAlignment="1">
      <alignment horizontal="right"/>
    </xf>
    <xf numFmtId="43" fontId="21" fillId="0" borderId="0" xfId="10" applyNumberFormat="1" applyFont="1" applyBorder="1"/>
    <xf numFmtId="167" fontId="21" fillId="0" borderId="0" xfId="10" applyNumberFormat="1" applyFont="1" applyBorder="1"/>
    <xf numFmtId="44" fontId="21" fillId="0" borderId="0" xfId="10" applyNumberFormat="1" applyFont="1" applyBorder="1"/>
    <xf numFmtId="0" fontId="17" fillId="0" borderId="4" xfId="0" applyFont="1" applyBorder="1" applyAlignment="1">
      <alignment horizontal="center" vertical="center" wrapText="1"/>
    </xf>
    <xf numFmtId="167" fontId="17" fillId="0" borderId="4" xfId="9" applyFont="1" applyFill="1" applyBorder="1"/>
    <xf numFmtId="167" fontId="21" fillId="0" borderId="0" xfId="0" applyNumberFormat="1" applyFont="1" applyBorder="1"/>
    <xf numFmtId="166" fontId="21" fillId="0" borderId="0" xfId="10" applyNumberFormat="1" applyFont="1" applyBorder="1"/>
    <xf numFmtId="0" fontId="17" fillId="0" borderId="0" xfId="10" applyBorder="1" applyAlignment="1">
      <alignment horizontal="right"/>
    </xf>
    <xf numFmtId="44" fontId="17" fillId="0" borderId="0" xfId="10" applyNumberFormat="1" applyBorder="1"/>
    <xf numFmtId="167" fontId="17" fillId="0" borderId="4" xfId="0" applyNumberFormat="1" applyFont="1" applyBorder="1"/>
    <xf numFmtId="0" fontId="17" fillId="0" borderId="0" xfId="11" applyBorder="1"/>
    <xf numFmtId="0" fontId="17" fillId="0" borderId="0" xfId="11" applyBorder="1" applyAlignment="1">
      <alignment horizontal="right"/>
    </xf>
    <xf numFmtId="44" fontId="17" fillId="0" borderId="0" xfId="11" applyNumberFormat="1" applyBorder="1"/>
    <xf numFmtId="0" fontId="17" fillId="0" borderId="5" xfId="11" applyBorder="1"/>
    <xf numFmtId="167" fontId="33" fillId="0" borderId="4" xfId="0" applyNumberFormat="1" applyFont="1" applyBorder="1"/>
    <xf numFmtId="167" fontId="17" fillId="0" borderId="6" xfId="0" applyNumberFormat="1" applyFont="1" applyBorder="1"/>
    <xf numFmtId="167" fontId="21" fillId="0" borderId="7" xfId="0" applyNumberFormat="1" applyFont="1" applyBorder="1"/>
    <xf numFmtId="0" fontId="17" fillId="0" borderId="7" xfId="11" applyBorder="1"/>
    <xf numFmtId="167" fontId="21" fillId="16" borderId="7" xfId="1" applyNumberFormat="1" applyFont="1" applyFill="1" applyBorder="1"/>
    <xf numFmtId="0" fontId="21" fillId="0" borderId="7" xfId="11" applyFont="1" applyBorder="1"/>
    <xf numFmtId="0" fontId="17" fillId="0" borderId="8" xfId="10" applyBorder="1"/>
    <xf numFmtId="167" fontId="17" fillId="16" borderId="0" xfId="1" applyNumberFormat="1" applyFont="1" applyFill="1" applyBorder="1"/>
    <xf numFmtId="167" fontId="17" fillId="16" borderId="50" xfId="1" applyNumberFormat="1" applyFont="1" applyFill="1" applyBorder="1"/>
    <xf numFmtId="167" fontId="33" fillId="0" borderId="6" xfId="0" applyNumberFormat="1" applyFont="1" applyBorder="1"/>
    <xf numFmtId="167" fontId="32" fillId="0" borderId="7" xfId="0" applyNumberFormat="1" applyFont="1" applyBorder="1"/>
    <xf numFmtId="10" fontId="0" fillId="0" borderId="0" xfId="5" applyNumberFormat="1" applyFont="1"/>
    <xf numFmtId="164" fontId="51" fillId="4" borderId="0" xfId="0" applyNumberFormat="1" applyFont="1" applyFill="1" applyBorder="1" applyAlignment="1">
      <alignment horizontal="center"/>
    </xf>
    <xf numFmtId="164" fontId="51" fillId="0" borderId="0" xfId="0" applyNumberFormat="1" applyFont="1" applyBorder="1" applyAlignment="1">
      <alignment horizontal="center"/>
    </xf>
    <xf numFmtId="0" fontId="51" fillId="0" borderId="0" xfId="0" applyFont="1" applyBorder="1" applyAlignment="1">
      <alignment horizontal="center"/>
    </xf>
    <xf numFmtId="0" fontId="51" fillId="4" borderId="0" xfId="0" applyFont="1" applyFill="1" applyBorder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8" fontId="1" fillId="2" borderId="9" xfId="0" applyNumberFormat="1" applyFont="1" applyFill="1" applyBorder="1" applyAlignment="1">
      <alignment horizontal="center"/>
    </xf>
    <xf numFmtId="8" fontId="1" fillId="2" borderId="16" xfId="0" applyNumberFormat="1" applyFont="1" applyFill="1" applyBorder="1" applyAlignment="1">
      <alignment horizontal="center"/>
    </xf>
    <xf numFmtId="17" fontId="0" fillId="0" borderId="0" xfId="0" applyNumberFormat="1"/>
    <xf numFmtId="17" fontId="0" fillId="0" borderId="0" xfId="0" applyNumberFormat="1" applyBorder="1" applyAlignment="1">
      <alignment horizontal="center"/>
    </xf>
    <xf numFmtId="44" fontId="0" fillId="0" borderId="7" xfId="1" applyFont="1" applyBorder="1"/>
    <xf numFmtId="44" fontId="51" fillId="0" borderId="7" xfId="1" applyFont="1" applyBorder="1"/>
    <xf numFmtId="44" fontId="0" fillId="0" borderId="8" xfId="1" applyFont="1" applyBorder="1"/>
    <xf numFmtId="44" fontId="0" fillId="0" borderId="1" xfId="1" applyFont="1" applyBorder="1"/>
    <xf numFmtId="44" fontId="0" fillId="0" borderId="2" xfId="1" applyFont="1" applyBorder="1"/>
    <xf numFmtId="44" fontId="0" fillId="0" borderId="3" xfId="1" applyFont="1" applyBorder="1"/>
    <xf numFmtId="44" fontId="0" fillId="0" borderId="4" xfId="1" applyFont="1" applyBorder="1"/>
    <xf numFmtId="44" fontId="0" fillId="0" borderId="6" xfId="1" applyFont="1" applyBorder="1"/>
    <xf numFmtId="17" fontId="0" fillId="0" borderId="1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44" fontId="51" fillId="0" borderId="2" xfId="1" applyFont="1" applyBorder="1"/>
    <xf numFmtId="0" fontId="51" fillId="0" borderId="0" xfId="0" applyFont="1" applyBorder="1"/>
    <xf numFmtId="167" fontId="0" fillId="0" borderId="0" xfId="0" applyNumberFormat="1" applyBorder="1"/>
    <xf numFmtId="167" fontId="51" fillId="0" borderId="0" xfId="0" applyNumberFormat="1" applyFont="1" applyBorder="1"/>
    <xf numFmtId="0" fontId="0" fillId="0" borderId="0" xfId="0" applyBorder="1"/>
    <xf numFmtId="0" fontId="0" fillId="0" borderId="0" xfId="0" applyBorder="1" applyAlignment="1">
      <alignment horizontal="center" wrapText="1"/>
    </xf>
    <xf numFmtId="0" fontId="51" fillId="0" borderId="0" xfId="0" applyFont="1" applyBorder="1" applyAlignment="1">
      <alignment horizontal="center" wrapText="1"/>
    </xf>
    <xf numFmtId="17" fontId="51" fillId="0" borderId="0" xfId="0" applyNumberFormat="1" applyFont="1" applyBorder="1" applyAlignment="1">
      <alignment horizontal="center"/>
    </xf>
    <xf numFmtId="173" fontId="0" fillId="0" borderId="0" xfId="0" applyNumberFormat="1" applyBorder="1"/>
    <xf numFmtId="173" fontId="51" fillId="0" borderId="0" xfId="0" applyNumberFormat="1" applyFont="1" applyBorder="1"/>
    <xf numFmtId="0" fontId="51" fillId="0" borderId="7" xfId="0" applyFont="1" applyBorder="1" applyAlignment="1">
      <alignment horizontal="left" wrapText="1"/>
    </xf>
    <xf numFmtId="0" fontId="56" fillId="0" borderId="0" xfId="0" applyFont="1" applyAlignment="1">
      <alignment horizontal="center"/>
    </xf>
  </cellXfs>
  <cellStyles count="16">
    <cellStyle name="Comma" xfId="2" builtinId="3"/>
    <cellStyle name="Comma 3" xfId="14" xr:uid="{8FF0648E-A4F7-4BBC-9957-4E4ED8AEA2EA}"/>
    <cellStyle name="Comma 7" xfId="15" xr:uid="{5E44B8D2-36F3-47DC-A163-D7DC13089CC2}"/>
    <cellStyle name="Currency" xfId="1" builtinId="4"/>
    <cellStyle name="Currency 2" xfId="4" xr:uid="{C48E3F0C-2898-4B90-A430-537EF36B19A9}"/>
    <cellStyle name="Currency 2 2" xfId="9" xr:uid="{B90C15D6-F722-45D3-A6CD-F9E64B8F59AA}"/>
    <cellStyle name="Currency 3 8" xfId="12" xr:uid="{F8FC26E8-7CF9-4BD0-929B-E6159C3FA687}"/>
    <cellStyle name="Hyperlink" xfId="7" builtinId="8"/>
    <cellStyle name="Normal" xfId="0" builtinId="0"/>
    <cellStyle name="Normal 2" xfId="3" xr:uid="{CE3A21E3-622F-4F6F-8D75-3D59EC03DC8D}"/>
    <cellStyle name="Normal 2 2" xfId="10" xr:uid="{17F61D90-41BB-48CA-8EE8-F90783FDE957}"/>
    <cellStyle name="Normal 42" xfId="13" xr:uid="{4A08C4E6-FF99-4B69-9642-3B314ECABCD9}"/>
    <cellStyle name="Normal_bowra2" xfId="6" xr:uid="{2EE84668-465E-491A-9A9E-A5253D65A35D}"/>
    <cellStyle name="Normal_feb2 01" xfId="11" xr:uid="{62170A27-E7A8-4147-B251-AFF1C3D39A40}"/>
    <cellStyle name="Percent" xfId="5" builtinId="5"/>
    <cellStyle name="Percent 2" xfId="8" xr:uid="{79832875-6D8F-4ADA-BB71-80E452AD84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'Spur-Netback'!$W$29</c:f>
              <c:strCache>
                <c:ptCount val="1"/>
                <c:pt idx="0">
                  <c:v>Spur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'Spur-Netback'!$X$27:$AI$28</c:f>
              <c:multiLvlStrCache>
                <c:ptCount val="12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</c:lvl>
                <c:lvl>
                  <c:pt idx="0">
                    <c:v>Blended Crude Density to get to 350cSt (Paper Blend Target)</c:v>
                  </c:pt>
                </c:lvl>
              </c:multiLvlStrCache>
            </c:multiLvlStrRef>
          </c:cat>
          <c:val>
            <c:numRef>
              <c:f>'Spur-Netback'!$X$29:$AI$29</c:f>
              <c:numCache>
                <c:formatCode>0.0</c:formatCode>
                <c:ptCount val="12"/>
                <c:pt idx="0">
                  <c:v>925.6</c:v>
                </c:pt>
                <c:pt idx="1">
                  <c:v>923</c:v>
                </c:pt>
                <c:pt idx="2">
                  <c:v>921.8</c:v>
                </c:pt>
                <c:pt idx="3">
                  <c:v>921.2</c:v>
                </c:pt>
                <c:pt idx="4">
                  <c:v>921.2</c:v>
                </c:pt>
                <c:pt idx="5">
                  <c:v>918.1</c:v>
                </c:pt>
                <c:pt idx="6">
                  <c:v>921.5</c:v>
                </c:pt>
                <c:pt idx="7">
                  <c:v>924.4</c:v>
                </c:pt>
                <c:pt idx="8">
                  <c:v>931</c:v>
                </c:pt>
                <c:pt idx="9">
                  <c:v>934.8</c:v>
                </c:pt>
                <c:pt idx="10">
                  <c:v>930.9</c:v>
                </c:pt>
                <c:pt idx="11">
                  <c:v>927.8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5-4EED-B890-A8E481E8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'Spur-Netback'!$W$30</c:f>
              <c:strCache>
                <c:ptCount val="1"/>
                <c:pt idx="0">
                  <c:v>Tamarack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'Spur-Netback'!$X$27:$AI$28</c:f>
              <c:multiLvlStrCache>
                <c:ptCount val="12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</c:lvl>
                <c:lvl>
                  <c:pt idx="0">
                    <c:v>Blended Crude Density to get to 350cSt (Paper Blend Target)</c:v>
                  </c:pt>
                </c:lvl>
              </c:multiLvlStrCache>
            </c:multiLvlStrRef>
          </c:cat>
          <c:val>
            <c:numRef>
              <c:f>'Spur-Netback'!$X$30:$AI$30</c:f>
              <c:numCache>
                <c:formatCode>0.0</c:formatCode>
                <c:ptCount val="12"/>
                <c:pt idx="0">
                  <c:v>925.6</c:v>
                </c:pt>
                <c:pt idx="1">
                  <c:v>923</c:v>
                </c:pt>
                <c:pt idx="2">
                  <c:v>921.1</c:v>
                </c:pt>
                <c:pt idx="3">
                  <c:v>921.3</c:v>
                </c:pt>
                <c:pt idx="4">
                  <c:v>920.9</c:v>
                </c:pt>
                <c:pt idx="5">
                  <c:v>923</c:v>
                </c:pt>
                <c:pt idx="6">
                  <c:v>923.1</c:v>
                </c:pt>
                <c:pt idx="7">
                  <c:v>926.2</c:v>
                </c:pt>
                <c:pt idx="8">
                  <c:v>930.6</c:v>
                </c:pt>
                <c:pt idx="9">
                  <c:v>935</c:v>
                </c:pt>
                <c:pt idx="10">
                  <c:v>931</c:v>
                </c:pt>
                <c:pt idx="11">
                  <c:v>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1-463F-A04E-6D997CD19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'Spur-Netback'!$W$31</c:f>
              <c:strCache>
                <c:ptCount val="1"/>
                <c:pt idx="0">
                  <c:v>Obsidian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'Spur-Netback'!$X$27:$AI$28</c:f>
              <c:multiLvlStrCache>
                <c:ptCount val="12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</c:lvl>
                <c:lvl>
                  <c:pt idx="0">
                    <c:v>Blended Crude Density to get to 350cSt (Paper Blend Target)</c:v>
                  </c:pt>
                </c:lvl>
              </c:multiLvlStrCache>
            </c:multiLvlStrRef>
          </c:cat>
          <c:val>
            <c:numRef>
              <c:f>'Spur-Netback'!$X$31:$AI$31</c:f>
              <c:numCache>
                <c:formatCode>0.0</c:formatCode>
                <c:ptCount val="12"/>
                <c:pt idx="0">
                  <c:v>917.9</c:v>
                </c:pt>
                <c:pt idx="1">
                  <c:v>914.6</c:v>
                </c:pt>
                <c:pt idx="2">
                  <c:v>912.3</c:v>
                </c:pt>
                <c:pt idx="3">
                  <c:v>912.9</c:v>
                </c:pt>
                <c:pt idx="4">
                  <c:v>915.3</c:v>
                </c:pt>
                <c:pt idx="5">
                  <c:v>915.8</c:v>
                </c:pt>
                <c:pt idx="6">
                  <c:v>914.8</c:v>
                </c:pt>
                <c:pt idx="7">
                  <c:v>916.4</c:v>
                </c:pt>
                <c:pt idx="8">
                  <c:v>919.7</c:v>
                </c:pt>
                <c:pt idx="9">
                  <c:v>929.2</c:v>
                </c:pt>
                <c:pt idx="10">
                  <c:v>925.3</c:v>
                </c:pt>
                <c:pt idx="11">
                  <c:v>921.6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9-4857-810F-3B8CBBF3E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'Spur-Netback'!$W$100</c:f>
              <c:strCache>
                <c:ptCount val="1"/>
                <c:pt idx="0">
                  <c:v>Spur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'Spur-Netback'!$X$98:$AQ$99</c:f>
              <c:multiLvlStrCache>
                <c:ptCount val="20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  <c:pt idx="12">
                    <c:v>Oct-24</c:v>
                  </c:pt>
                  <c:pt idx="13">
                    <c:v>Nov-24</c:v>
                  </c:pt>
                  <c:pt idx="14">
                    <c:v>Dec-24</c:v>
                  </c:pt>
                  <c:pt idx="15">
                    <c:v>Jan-25</c:v>
                  </c:pt>
                  <c:pt idx="16">
                    <c:v>Feb-25</c:v>
                  </c:pt>
                  <c:pt idx="17">
                    <c:v>Mar-25</c:v>
                  </c:pt>
                  <c:pt idx="18">
                    <c:v>Apr-25</c:v>
                  </c:pt>
                  <c:pt idx="19">
                    <c:v>May-25</c:v>
                  </c:pt>
                </c:lvl>
                <c:lvl>
                  <c:pt idx="0">
                    <c:v>Actual Blended Crude Density (Actual Blend Target)</c:v>
                  </c:pt>
                </c:lvl>
              </c:multiLvlStrCache>
            </c:multiLvlStrRef>
          </c:cat>
          <c:val>
            <c:numRef>
              <c:f>'Spur-Netback'!$X$100:$AQ$100</c:f>
              <c:numCache>
                <c:formatCode>0.0</c:formatCode>
                <c:ptCount val="20"/>
                <c:pt idx="0">
                  <c:v>924.7</c:v>
                </c:pt>
                <c:pt idx="1">
                  <c:v>922.7</c:v>
                </c:pt>
                <c:pt idx="2">
                  <c:v>921.6</c:v>
                </c:pt>
                <c:pt idx="3">
                  <c:v>920.6</c:v>
                </c:pt>
                <c:pt idx="4">
                  <c:v>921.7</c:v>
                </c:pt>
                <c:pt idx="5">
                  <c:v>918.4</c:v>
                </c:pt>
                <c:pt idx="6">
                  <c:v>921.6</c:v>
                </c:pt>
                <c:pt idx="7">
                  <c:v>924.2</c:v>
                </c:pt>
                <c:pt idx="8">
                  <c:v>930.1</c:v>
                </c:pt>
                <c:pt idx="9">
                  <c:v>936.4</c:v>
                </c:pt>
                <c:pt idx="10">
                  <c:v>929.4</c:v>
                </c:pt>
                <c:pt idx="11">
                  <c:v>928.7</c:v>
                </c:pt>
                <c:pt idx="12">
                  <c:v>929.6</c:v>
                </c:pt>
                <c:pt idx="13">
                  <c:v>924.2</c:v>
                </c:pt>
                <c:pt idx="14">
                  <c:v>921.8</c:v>
                </c:pt>
                <c:pt idx="15">
                  <c:v>921.2</c:v>
                </c:pt>
                <c:pt idx="16">
                  <c:v>920.2</c:v>
                </c:pt>
                <c:pt idx="17">
                  <c:v>920.3</c:v>
                </c:pt>
                <c:pt idx="18">
                  <c:v>921.4</c:v>
                </c:pt>
                <c:pt idx="19">
                  <c:v>924.3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A-4597-945E-941644E82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17860</xdr:colOff>
      <xdr:row>34</xdr:row>
      <xdr:rowOff>51196</xdr:rowOff>
    </xdr:from>
    <xdr:to>
      <xdr:col>34</xdr:col>
      <xdr:colOff>547688</xdr:colOff>
      <xdr:row>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186FD-5562-644F-CC2B-AE4635FC5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51</xdr:row>
      <xdr:rowOff>0</xdr:rowOff>
    </xdr:from>
    <xdr:to>
      <xdr:col>34</xdr:col>
      <xdr:colOff>529828</xdr:colOff>
      <xdr:row>77</xdr:row>
      <xdr:rowOff>127397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A2885D-FE14-44D6-860C-B639D1BFD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80</xdr:row>
      <xdr:rowOff>0</xdr:rowOff>
    </xdr:from>
    <xdr:to>
      <xdr:col>34</xdr:col>
      <xdr:colOff>529828</xdr:colOff>
      <xdr:row>94</xdr:row>
      <xdr:rowOff>139304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33FEC1-0FC2-45B5-93C2-FDBB3224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108</xdr:row>
      <xdr:rowOff>0</xdr:rowOff>
    </xdr:from>
    <xdr:to>
      <xdr:col>34</xdr:col>
      <xdr:colOff>529828</xdr:colOff>
      <xdr:row>122</xdr:row>
      <xdr:rowOff>139304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61BFC5-2105-4F7B-AAE8-89948837F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79</xdr:row>
      <xdr:rowOff>89650</xdr:rowOff>
    </xdr:from>
    <xdr:to>
      <xdr:col>4</xdr:col>
      <xdr:colOff>1154207</xdr:colOff>
      <xdr:row>80</xdr:row>
      <xdr:rowOff>67236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AB87BB73-A6DF-460B-97F8-C100B9138425}"/>
            </a:ext>
          </a:extLst>
        </xdr:cNvPr>
        <xdr:cNvCxnSpPr/>
      </xdr:nvCxnSpPr>
      <xdr:spPr>
        <a:xfrm rot="10800000">
          <a:off x="3228980" y="15548725"/>
          <a:ext cx="3745002" cy="139511"/>
        </a:xfrm>
        <a:prstGeom prst="bentConnector3">
          <a:avLst>
            <a:gd name="adj1" fmla="val 834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79</xdr:row>
      <xdr:rowOff>89650</xdr:rowOff>
    </xdr:from>
    <xdr:to>
      <xdr:col>4</xdr:col>
      <xdr:colOff>1154207</xdr:colOff>
      <xdr:row>80</xdr:row>
      <xdr:rowOff>67236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421D6B69-66DC-F152-A595-F3794AB0E62F}"/>
            </a:ext>
          </a:extLst>
        </xdr:cNvPr>
        <xdr:cNvCxnSpPr/>
      </xdr:nvCxnSpPr>
      <xdr:spPr>
        <a:xfrm rot="10800000">
          <a:off x="3227299" y="15296032"/>
          <a:ext cx="3753967" cy="134469"/>
        </a:xfrm>
        <a:prstGeom prst="bentConnector3">
          <a:avLst>
            <a:gd name="adj1" fmla="val 834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78</xdr:row>
      <xdr:rowOff>89650</xdr:rowOff>
    </xdr:from>
    <xdr:to>
      <xdr:col>4</xdr:col>
      <xdr:colOff>1154207</xdr:colOff>
      <xdr:row>79</xdr:row>
      <xdr:rowOff>67236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8E0155C7-8FC6-42A2-A811-0C4D45149678}"/>
            </a:ext>
          </a:extLst>
        </xdr:cNvPr>
        <xdr:cNvCxnSpPr/>
      </xdr:nvCxnSpPr>
      <xdr:spPr>
        <a:xfrm rot="10800000">
          <a:off x="3228980" y="15548725"/>
          <a:ext cx="3745002" cy="139511"/>
        </a:xfrm>
        <a:prstGeom prst="bentConnector3">
          <a:avLst>
            <a:gd name="adj1" fmla="val 834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de\Prod-Common\KevinM\Navigo\16-21-22-25W4M%20(Actual%20Sulph.+Dens.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015%20BC%20LNG\Financial%20Model\2017\Archive\Financial%20Model%20-%20BC%20LNG%20-%20v1%20201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CC%20models\AGU\Project%20Avalon%20standalone%20model%202009%2010%20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ance\Crude%20Oil%20Marketing\BLENDING\Drayton%20Valley\2020\06%20-%20June%2020\06_JUNE%202020%20-%20DRAYTON%20VALLEY%20BLEND%20MODEL%20-%20MAY%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ance\Crude%20Oil%20Marketing\Madden\THIRD%20PARTY%20BLEND%20FACILITIES\ATHABASCA%20OIL%20SANDS\AOC%2010-19%20Blending%20Upside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ing\Operations%20Accounting\3%20Management%20Information\04-%20Energy%20Services\04-%20Capex\Capex%20Analyses\Willow\Cell%205%20Expansion\Willow%20Creek%202018%20Cell%205%20-%20Cap%20&amp;%20Close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oss\AppData\Local\Microsoft\Windows\Temporary%20Internet%20Files\Content.Outlook\08E09TTI\Detailed%20business%20unit%20performance_July%20(Aug%209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S%20-%20NEW%20FILE%20SYSTEM\4.0%20Evaluation%20Phase\MIDSTREAM\Project%20Spicoli%20(PWT%20Lodgepole)\Economics\31072017%20-%20Spicoli%20Project%20Economics%20AFE%20%233%20ver%20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gkerr\AppData\Local\Microsoft\Windows\Temporary%20Internet%20Files\Content.Outlook\ZK2NRKS9\2014%20WP%20Budget%20Capex%20v11%2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01\CrudeOilMarketing\personal\sleong_tervita_com\Documents\Documents\Strategy\Tervita%20Strategy%20-%202018\Environmental%20Services\Filter%20Press\June%202018%20ES%20Consolidated%20ME%20Report%20(003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ampi\AppData\Local\Microsoft\Windows\Temporary%20Internet%20Files\Content.Outlook\YQ0A4E0X\Tower%20Road%20Temp%20Cap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rensing\AppData\Local\Microsoft\Windows\Temporary%20Internet%20Files\Content.Outlook\FP8JN8O1\!2018%20Budget%20-%20Month%20over%20Month%20-%20Fluids%20-%209+3%20(NW)%20(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ccounting\Operations%20Accounting\2013%20Financial%20Statements\Mar%2013%20FS\Mar%2013%20Fluids%20Financial%20Details_atApr11_2PM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maross\AppData\Local\Microsoft\Windows\Temporary%20Internet%20Files\Content.Outlook\08E09TTI\Detailed%20business%20unit%20performance_July%20(Aug%209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widish\Desktop\Gordondale\Gordondale%20Butane%20Mode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wellman\AppData\Local\Microsoft\Windows\Temporary%20Internet%20Files\Content.Outlook\VYDEPGTA\WEST%20EDSON%20TRUCK%20OUT%20MSW%20MA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ATA"/>
      <sheetName val="BOW"/>
      <sheetName val="KAPL"/>
      <sheetName val="EDMSWEET"/>
      <sheetName val="KAPL-Hussar"/>
      <sheetName val="KAPL-West Drum."/>
      <sheetName val="BR-Milk River"/>
      <sheetName val="BR-Hays"/>
      <sheetName val="Edm SW-Rimbey"/>
      <sheetName val="Comparison"/>
      <sheetName val="Mode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 ARO"/>
      <sheetName val="Babkirk ARO"/>
      <sheetName val="Fixed Assumptions"/>
      <sheetName val="Capex"/>
      <sheetName val="Opex"/>
      <sheetName val="Sheet2"/>
      <sheetName val="CF"/>
      <sheetName val="Capex Profile"/>
      <sheetName val="DCF"/>
      <sheetName val="Assumptions"/>
      <sheetName val="Sensitivities"/>
      <sheetName val="NPV Table"/>
      <sheetName val="Volume &amp; Rate Scenario"/>
      <sheetName val="Bridges"/>
      <sheetName val="NPV Bridge"/>
      <sheetName val="Synek"/>
    </sheetNames>
    <sheetDataSet>
      <sheetData sheetId="0"/>
      <sheetData sheetId="1"/>
      <sheetData sheetId="2">
        <row r="1">
          <cell r="E1">
            <v>2015</v>
          </cell>
          <cell r="F1">
            <v>2016</v>
          </cell>
          <cell r="G1">
            <v>2017</v>
          </cell>
          <cell r="H1">
            <v>2018</v>
          </cell>
          <cell r="I1">
            <v>2019</v>
          </cell>
          <cell r="J1">
            <v>2020</v>
          </cell>
          <cell r="K1">
            <v>2021</v>
          </cell>
          <cell r="L1">
            <v>2022</v>
          </cell>
          <cell r="M1">
            <v>2023</v>
          </cell>
          <cell r="N1">
            <v>2024</v>
          </cell>
          <cell r="O1">
            <v>2025</v>
          </cell>
          <cell r="P1">
            <v>2026</v>
          </cell>
          <cell r="Q1">
            <v>2027</v>
          </cell>
          <cell r="R1">
            <v>2028</v>
          </cell>
          <cell r="S1">
            <v>2029</v>
          </cell>
          <cell r="T1">
            <v>2030</v>
          </cell>
          <cell r="U1">
            <v>2031</v>
          </cell>
          <cell r="V1">
            <v>2032</v>
          </cell>
          <cell r="W1">
            <v>2033</v>
          </cell>
          <cell r="X1">
            <v>2034</v>
          </cell>
          <cell r="Y1">
            <v>2035</v>
          </cell>
          <cell r="Z1">
            <v>2036</v>
          </cell>
          <cell r="AA1">
            <v>2037</v>
          </cell>
          <cell r="AB1">
            <v>2038</v>
          </cell>
          <cell r="AC1">
            <v>2039</v>
          </cell>
          <cell r="AD1">
            <v>2040</v>
          </cell>
          <cell r="AE1">
            <v>2041</v>
          </cell>
          <cell r="AF1">
            <v>2042</v>
          </cell>
        </row>
        <row r="4">
          <cell r="E4">
            <v>0.92005618916088372</v>
          </cell>
          <cell r="F4">
            <v>0.89485458612975399</v>
          </cell>
          <cell r="G4">
            <v>0.80076473031745321</v>
          </cell>
          <cell r="H4">
            <v>0.71656799133552873</v>
          </cell>
          <cell r="I4">
            <v>0.64122415332038363</v>
          </cell>
          <cell r="J4">
            <v>0.57380237433591375</v>
          </cell>
          <cell r="K4">
            <v>0.51346968620663425</v>
          </cell>
          <cell r="L4">
            <v>0.45948070354061238</v>
          </cell>
          <cell r="M4">
            <v>0.41116841480144284</v>
          </cell>
          <cell r="N4">
            <v>0.36793594165677213</v>
          </cell>
          <cell r="O4">
            <v>0.32924916479353211</v>
          </cell>
          <cell r="P4">
            <v>0.2946301250948834</v>
          </cell>
          <cell r="Q4">
            <v>0.26365111865313945</v>
          </cell>
          <cell r="R4">
            <v>0.23592941266500175</v>
          </cell>
          <cell r="S4">
            <v>0.21112251692617606</v>
          </cell>
          <cell r="T4">
            <v>0.18892395250664532</v>
          </cell>
          <cell r="U4">
            <v>0.16905946533033134</v>
          </cell>
          <cell r="V4">
            <v>0.15128363787949115</v>
          </cell>
          <cell r="W4">
            <v>0.13537685716285561</v>
          </cell>
          <cell r="X4">
            <v>0.12114260148801399</v>
          </cell>
          <cell r="Y4">
            <v>0.10840501251723846</v>
          </cell>
          <cell r="Z4">
            <v>9.7006722610504206E-2</v>
          </cell>
          <cell r="AA4">
            <v>8.6806910613426588E-2</v>
          </cell>
          <cell r="AB4">
            <v>7.7679562070180425E-2</v>
          </cell>
          <cell r="AC4">
            <v>6.9511912367051815E-2</v>
          </cell>
          <cell r="AD4">
            <v>6.2203053572305884E-2</v>
          </cell>
          <cell r="AE4">
            <v>5.5662687760452696E-2</v>
          </cell>
          <cell r="AF4">
            <v>4.9810011418749627E-2</v>
          </cell>
        </row>
        <row r="7">
          <cell r="E7">
            <v>1</v>
          </cell>
          <cell r="F7">
            <v>1.01</v>
          </cell>
          <cell r="G7">
            <v>1.0302</v>
          </cell>
          <cell r="H7">
            <v>1.0508040000000001</v>
          </cell>
          <cell r="I7">
            <v>1.0718200800000002</v>
          </cell>
          <cell r="J7">
            <v>1.0932564816000001</v>
          </cell>
          <cell r="K7">
            <v>1.1151216112320002</v>
          </cell>
          <cell r="L7">
            <v>1.1374240434566403</v>
          </cell>
          <cell r="M7">
            <v>1.160172524325773</v>
          </cell>
          <cell r="N7">
            <v>1.1833759748122885</v>
          </cell>
          <cell r="O7">
            <v>1.2070434943085342</v>
          </cell>
          <cell r="P7">
            <v>1.2311843641947049</v>
          </cell>
          <cell r="Q7">
            <v>1.255808051478599</v>
          </cell>
          <cell r="R7">
            <v>1.280924212508171</v>
          </cell>
          <cell r="S7">
            <v>1.3065426967583345</v>
          </cell>
          <cell r="T7">
            <v>1.3326735506935012</v>
          </cell>
          <cell r="U7">
            <v>1.3593270217073712</v>
          </cell>
          <cell r="V7">
            <v>1.3865135621415186</v>
          </cell>
          <cell r="W7">
            <v>1.414243833384349</v>
          </cell>
          <cell r="X7">
            <v>1.4425287100520361</v>
          </cell>
          <cell r="Y7">
            <v>1.4713792842530768</v>
          </cell>
          <cell r="Z7">
            <v>1.5008068699381385</v>
          </cell>
          <cell r="AA7">
            <v>1.5308230073369014</v>
          </cell>
          <cell r="AB7">
            <v>1.5614394674836394</v>
          </cell>
          <cell r="AC7">
            <v>1.5926682568333121</v>
          </cell>
          <cell r="AD7">
            <v>1.6245216219699785</v>
          </cell>
          <cell r="AE7">
            <v>1.657012054409378</v>
          </cell>
          <cell r="AF7">
            <v>1.6901522954975656</v>
          </cell>
        </row>
      </sheetData>
      <sheetData sheetId="3"/>
      <sheetData sheetId="4"/>
      <sheetData sheetId="5"/>
      <sheetData sheetId="6"/>
      <sheetData sheetId="7"/>
      <sheetData sheetId="8"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127"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65">
          <cell r="E165"/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</row>
        <row r="255"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</row>
        <row r="269"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</row>
        <row r="360"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</row>
        <row r="456"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</row>
        <row r="457"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618"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</row>
        <row r="632"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  <row r="659"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</row>
        <row r="678">
          <cell r="E678"/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</row>
        <row r="745"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</sheetData>
      <sheetData sheetId="9"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Assumptions"/>
      <sheetName val="DCF"/>
      <sheetName val="Title"/>
      <sheetName val="Introduction"/>
      <sheetName val="Overview"/>
      <sheetName val="base business"/>
      <sheetName val="Greenfield"/>
      <sheetName val="Cases"/>
      <sheetName val="change log"/>
      <sheetName val="Sensitivities"/>
      <sheetName val="Ann Summary"/>
      <sheetName val="Brownfield production"/>
      <sheetName val="first pass BASE"/>
      <sheetName val="first pass GREENFIELD"/>
    </sheetNames>
    <sheetDataSet>
      <sheetData sheetId="0">
        <row r="3">
          <cell r="B3">
            <v>1</v>
          </cell>
        </row>
        <row r="5">
          <cell r="B5">
            <v>2</v>
          </cell>
          <cell r="L5">
            <v>1</v>
          </cell>
        </row>
        <row r="7">
          <cell r="B7">
            <v>3</v>
          </cell>
        </row>
        <row r="10">
          <cell r="A10" t="str">
            <v>($CDN mm unless otherwise noted)</v>
          </cell>
          <cell r="H10">
            <v>2009</v>
          </cell>
          <cell r="I10">
            <v>2010</v>
          </cell>
          <cell r="J10">
            <v>2011</v>
          </cell>
          <cell r="K10">
            <v>2012</v>
          </cell>
          <cell r="L10">
            <v>2013</v>
          </cell>
          <cell r="M10">
            <v>2014</v>
          </cell>
          <cell r="N10">
            <v>2015</v>
          </cell>
          <cell r="O10">
            <v>2016</v>
          </cell>
          <cell r="P10">
            <v>2017</v>
          </cell>
          <cell r="Q10">
            <v>2018</v>
          </cell>
          <cell r="R10">
            <v>2019</v>
          </cell>
          <cell r="S10">
            <v>2020</v>
          </cell>
          <cell r="T10">
            <v>2021</v>
          </cell>
          <cell r="U10">
            <v>2022</v>
          </cell>
          <cell r="V10">
            <v>2023</v>
          </cell>
          <cell r="W10">
            <v>2024</v>
          </cell>
          <cell r="X10">
            <v>2025</v>
          </cell>
          <cell r="Y10">
            <v>2026</v>
          </cell>
          <cell r="Z10">
            <v>2027</v>
          </cell>
          <cell r="AA10">
            <v>2028</v>
          </cell>
          <cell r="AB10">
            <v>2029</v>
          </cell>
          <cell r="AC10">
            <v>2030</v>
          </cell>
          <cell r="AD10">
            <v>2031</v>
          </cell>
          <cell r="AE10">
            <v>2032</v>
          </cell>
          <cell r="AF10">
            <v>2033</v>
          </cell>
          <cell r="AG10">
            <v>2034</v>
          </cell>
          <cell r="AH10">
            <v>2035</v>
          </cell>
          <cell r="AI10">
            <v>2036</v>
          </cell>
          <cell r="AJ10">
            <v>2037</v>
          </cell>
          <cell r="AK10">
            <v>2038</v>
          </cell>
        </row>
        <row r="423">
          <cell r="B423">
            <v>0.60399999999999998</v>
          </cell>
        </row>
      </sheetData>
      <sheetData sheetId="1"/>
      <sheetData sheetId="2">
        <row r="32">
          <cell r="F32">
            <v>733427012.74600482</v>
          </cell>
        </row>
        <row r="34">
          <cell r="F34">
            <v>0.12550324959576509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W"/>
      <sheetName val="C5+"/>
      <sheetName val="MODEL NOMS &amp; QUALITY"/>
      <sheetName val="HISTORICAL PRICING DATA"/>
      <sheetName val="PIVOTAL HVY NETBACK"/>
      <sheetName val="NWR NETBACK ESTIMATE"/>
      <sheetName val="NWR VGO"/>
      <sheetName val="Heavy Map"/>
    </sheetNames>
    <sheetDataSet>
      <sheetData sheetId="0"/>
      <sheetData sheetId="1">
        <row r="17">
          <cell r="E17">
            <v>7171.5599999999995</v>
          </cell>
        </row>
      </sheetData>
      <sheetData sheetId="2">
        <row r="17">
          <cell r="C17">
            <v>18934.900000000001</v>
          </cell>
        </row>
        <row r="40">
          <cell r="K40">
            <v>6.1386034803127786E-2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LEND MODEL"/>
      <sheetName val="HISTORICAL PRICING DATA"/>
      <sheetName val="ANALYSES"/>
    </sheetNames>
    <sheetDataSet>
      <sheetData sheetId="0"/>
      <sheetData sheetId="1">
        <row r="22">
          <cell r="D22">
            <v>0</v>
          </cell>
          <cell r="E22">
            <v>811.16116792830189</v>
          </cell>
          <cell r="F22">
            <v>18600</v>
          </cell>
          <cell r="H22">
            <v>582.3348613479734</v>
          </cell>
        </row>
        <row r="40">
          <cell r="I40">
            <v>797.18352216587459</v>
          </cell>
        </row>
        <row r="41">
          <cell r="I41">
            <v>0.45000003175015124</v>
          </cell>
        </row>
        <row r="51">
          <cell r="B51">
            <v>129730.81531081974</v>
          </cell>
        </row>
        <row r="52">
          <cell r="B52">
            <v>-2249.2434997484052</v>
          </cell>
        </row>
        <row r="53">
          <cell r="B53">
            <v>127481.57181107134</v>
          </cell>
        </row>
      </sheetData>
      <sheetData sheetId="2">
        <row r="86">
          <cell r="B86">
            <v>51.59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puts &amp; Assumptions"/>
      <sheetName val="SITE"/>
      <sheetName val="CAP"/>
      <sheetName val="P&amp;L"/>
      <sheetName val="Facility list"/>
      <sheetName val="Instructions"/>
      <sheetName val="eg Site Plan data"/>
      <sheetName val="eg Site Plan last cell built"/>
      <sheetName val="eg Site Plan phase plan"/>
    </sheetNames>
    <sheetDataSet>
      <sheetData sheetId="0"/>
      <sheetData sheetId="1"/>
      <sheetData sheetId="2">
        <row r="21">
          <cell r="H2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luids"/>
      <sheetName val="Solids"/>
      <sheetName val="WP OH"/>
      <sheetName val="EM "/>
      <sheetName val="Reported vs Budget"/>
      <sheetName val="IS Summary"/>
      <sheetName val="ES by SL"/>
      <sheetName val="ES by SL &amp; Region"/>
      <sheetName val="MR"/>
      <sheetName val="Consol WS"/>
      <sheetName val="OVerview WS"/>
      <sheetName val="Overview WS July"/>
    </sheetNames>
    <sheetDataSet>
      <sheetData sheetId="0">
        <row r="1">
          <cell r="B1" t="str">
            <v>Jul</v>
          </cell>
        </row>
        <row r="4">
          <cell r="B4" t="str">
            <v>Forecast 6+6</v>
          </cell>
        </row>
        <row r="5">
          <cell r="B5" t="str">
            <v>Jul 2017</v>
          </cell>
        </row>
        <row r="7">
          <cell r="B7" t="str">
            <v>Jul 2017 YTD</v>
          </cell>
        </row>
        <row r="8">
          <cell r="B8" t="str">
            <v>Jul 2016 YTD</v>
          </cell>
        </row>
        <row r="11">
          <cell r="B11" t="str">
            <v>Budget 2017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ssumptions"/>
      <sheetName val="Revenue Inputs (ramp volumes)"/>
      <sheetName val="Model (ramp vols)"/>
      <sheetName val="Spicoli Cost Estimates"/>
      <sheetName val="Sensitivity"/>
      <sheetName val="Volume Forecast"/>
      <sheetName val="Project Summary "/>
    </sheetNames>
    <sheetDataSet>
      <sheetData sheetId="0">
        <row r="13">
          <cell r="C13" t="str">
            <v>Project Spicoli Blending</v>
          </cell>
        </row>
      </sheetData>
      <sheetData sheetId="1">
        <row r="5">
          <cell r="C5">
            <v>340</v>
          </cell>
        </row>
        <row r="7">
          <cell r="C7">
            <v>0.2</v>
          </cell>
        </row>
        <row r="29">
          <cell r="C29">
            <v>1696079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Capex Project List"/>
      <sheetName val="Stats"/>
      <sheetName val="Sheet 2"/>
      <sheetName val="Sheet 3"/>
      <sheetName val="Sheet 4"/>
      <sheetName val="Sheet 5"/>
      <sheetName val="Sheet 6"/>
      <sheetName val="Sheet 7"/>
    </sheetNames>
    <sheetDataSet>
      <sheetData sheetId="0">
        <row r="4">
          <cell r="B4" t="str">
            <v>Cavern Development</v>
          </cell>
          <cell r="D4" t="str">
            <v>Growth</v>
          </cell>
          <cell r="F4" t="str">
            <v xml:space="preserve">Tier 1 </v>
          </cell>
          <cell r="H4" t="str">
            <v>Corporate</v>
          </cell>
        </row>
        <row r="5">
          <cell r="B5" t="str">
            <v>Cell Expansion</v>
          </cell>
          <cell r="D5" t="str">
            <v>Sustaining</v>
          </cell>
          <cell r="F5" t="str">
            <v>Tier 2</v>
          </cell>
          <cell r="H5" t="str">
            <v>Drilling Services</v>
          </cell>
        </row>
        <row r="6">
          <cell r="B6" t="str">
            <v>Compliance/Regulatory</v>
          </cell>
          <cell r="F6" t="str">
            <v>Tier 3</v>
          </cell>
          <cell r="H6" t="str">
            <v>Energy Marketing</v>
          </cell>
        </row>
        <row r="7">
          <cell r="B7" t="str">
            <v>Facility Equipment</v>
          </cell>
          <cell r="H7" t="str">
            <v>Engineering</v>
          </cell>
        </row>
        <row r="8">
          <cell r="B8" t="str">
            <v>FEED/Long Lead</v>
          </cell>
          <cell r="H8" t="str">
            <v>Environmental Service</v>
          </cell>
        </row>
        <row r="9">
          <cell r="B9" t="str">
            <v>Health &amp; Safety</v>
          </cell>
          <cell r="H9" t="str">
            <v>Equipment Rentals</v>
          </cell>
        </row>
        <row r="10">
          <cell r="B10" t="str">
            <v>Heavy Equipment/Trucks</v>
          </cell>
          <cell r="H10" t="str">
            <v>Metals Recycling</v>
          </cell>
        </row>
        <row r="11">
          <cell r="B11" t="str">
            <v>IT/Office</v>
          </cell>
          <cell r="H11" t="str">
            <v>Solids Disposal</v>
          </cell>
        </row>
        <row r="12">
          <cell r="B12" t="str">
            <v>Land</v>
          </cell>
          <cell r="H12" t="str">
            <v>TRDs and Caverns</v>
          </cell>
        </row>
        <row r="13">
          <cell r="B13" t="str">
            <v>Landfill Capping</v>
          </cell>
          <cell r="H13" t="str">
            <v>USA LLC</v>
          </cell>
        </row>
        <row r="14">
          <cell r="B14" t="str">
            <v>Lease Buyout</v>
          </cell>
          <cell r="H14" t="str">
            <v>Waste Management</v>
          </cell>
        </row>
        <row r="15">
          <cell r="B15" t="str">
            <v>Maintenance</v>
          </cell>
          <cell r="H15" t="str">
            <v>Well Servicing</v>
          </cell>
        </row>
        <row r="16">
          <cell r="B16" t="str">
            <v>New Facility</v>
          </cell>
        </row>
        <row r="17">
          <cell r="B17" t="str">
            <v>Other Equipment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 &amp; Assumptions"/>
      <sheetName val="Tower Road - Temp Cap"/>
      <sheetName val="P&amp;L"/>
    </sheetNames>
    <sheetDataSet>
      <sheetData sheetId="0">
        <row r="4">
          <cell r="B4" t="str">
            <v>dept_24012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hasing Graph"/>
      <sheetName val="Adhoc Fluids"/>
      <sheetName val="Budget 2018 Summary"/>
      <sheetName val="Fluids Total"/>
      <sheetName val="Nothern Rockies"/>
      <sheetName val="NW Fluids"/>
      <sheetName val="LaGlace"/>
      <sheetName val="LaGlace WD"/>
      <sheetName val="Rainbow Lake"/>
      <sheetName val="Spirit River"/>
      <sheetName val="South Wapiti"/>
      <sheetName val="Peace River"/>
      <sheetName val="Arcola"/>
      <sheetName val="Overheads"/>
      <sheetName val="BD Facilities"/>
      <sheetName val="North Region OH"/>
      <sheetName val="South Region OH"/>
      <sheetName val="Balance Sheet"/>
      <sheetName val="KPI's"/>
      <sheetName val="TRD Graphs"/>
      <sheetName val="LF Graphs"/>
      <sheetName val="TRD AdHoc"/>
      <sheetName val="TRD AdHoc (2)"/>
      <sheetName val="LF AdHoc"/>
      <sheetName val="OH Adhoc"/>
      <sheetName val="EM Adhoc"/>
    </sheetNames>
    <sheetDataSet>
      <sheetData sheetId="0">
        <row r="1">
          <cell r="B1" t="str">
            <v>Nov</v>
          </cell>
        </row>
        <row r="2">
          <cell r="B2">
            <v>2016</v>
          </cell>
        </row>
        <row r="3">
          <cell r="B3" t="str">
            <v>Operations Reporting</v>
          </cell>
        </row>
        <row r="6">
          <cell r="B6">
            <v>11</v>
          </cell>
        </row>
        <row r="10">
          <cell r="B10" t="str">
            <v>Nov 2016</v>
          </cell>
        </row>
        <row r="12">
          <cell r="B12" t="str">
            <v>Nov 2015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e Budget"/>
      <sheetName val="PVT_YTD_CONTRIBUTION"/>
      <sheetName val="PVT_YTD_ACCT DETAILS"/>
      <sheetName val="PVT_YTD_MISC"/>
      <sheetName val="DATA YTD"/>
      <sheetName val="Mar13IncSttmt_atApr11_2PM"/>
      <sheetName val="Feb13IncSttmt"/>
      <sheetName val="Jan13IncStmt"/>
      <sheetName val="PVT_2013BudgetMarch19_w_OH"/>
      <sheetName val="Data_2013BudgetMarch19_w_OH"/>
      <sheetName val="DeptID"/>
      <sheetName val="Acct &amp; Facilities"/>
      <sheetName val="Acct &amp; Level 3"/>
      <sheetName val="Sheet2"/>
      <sheetName val="Mar13IncSttmt_atApr5_11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luids"/>
      <sheetName val="Solids"/>
      <sheetName val="WP OH"/>
      <sheetName val="EM "/>
      <sheetName val="Reported vs Budget"/>
      <sheetName val="IS Summary"/>
      <sheetName val="ES by SL"/>
      <sheetName val="ES by SL &amp; Region"/>
      <sheetName val="MR"/>
      <sheetName val="Consol WS"/>
      <sheetName val="OVerview WS"/>
      <sheetName val="Overview WS July"/>
    </sheetNames>
    <sheetDataSet>
      <sheetData sheetId="0">
        <row r="1">
          <cell r="B1" t="str">
            <v>Jul</v>
          </cell>
        </row>
        <row r="6">
          <cell r="B6" t="str">
            <v>Jul 2016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s"/>
      <sheetName val="TVP Emails"/>
      <sheetName val="Original calc"/>
      <sheetName val="Board Table"/>
      <sheetName val="Pricing"/>
      <sheetName val="High Case"/>
      <sheetName val="High Case - 4yr+ @$50"/>
      <sheetName val="Base Case"/>
      <sheetName val="Base Case - 4yr+ @$50"/>
      <sheetName val="Base Case - 12,000"/>
      <sheetName val="Base Case - 4yr+ @$35 12,000"/>
      <sheetName val="Base Case - 4yr+ @$50 12,000"/>
      <sheetName val="Low Case"/>
      <sheetName val="Volume &amp; Quality"/>
      <sheetName val="Low Case - 4yr+ @5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K3" t="str">
            <v>SCALE</v>
          </cell>
          <cell r="L3" t="str">
            <v>EFFECTIVE DATE</v>
          </cell>
          <cell r="M3" t="str">
            <v>DEN MIN</v>
          </cell>
          <cell r="N3" t="str">
            <v>DEN MIN PEN</v>
          </cell>
          <cell r="O3" t="str">
            <v>DEN MAX</v>
          </cell>
          <cell r="P3" t="str">
            <v>DEN MAX PEN</v>
          </cell>
          <cell r="Q3" t="str">
            <v>SUL MIN</v>
          </cell>
          <cell r="R3" t="str">
            <v>SUL MIN PEN</v>
          </cell>
          <cell r="S3" t="str">
            <v>SUL MAX</v>
          </cell>
          <cell r="T3" t="str">
            <v>SUL MAX PEN</v>
          </cell>
        </row>
        <row r="4">
          <cell r="K4" t="str">
            <v>INDUSTRY</v>
          </cell>
          <cell r="L4">
            <v>44136</v>
          </cell>
          <cell r="M4">
            <v>800</v>
          </cell>
          <cell r="N4">
            <v>-0.49</v>
          </cell>
          <cell r="O4">
            <v>825</v>
          </cell>
          <cell r="P4">
            <v>-0.49</v>
          </cell>
          <cell r="Q4">
            <v>0.5</v>
          </cell>
          <cell r="R4">
            <v>1.38</v>
          </cell>
          <cell r="S4">
            <v>0.5</v>
          </cell>
          <cell r="T4">
            <v>-1.38</v>
          </cell>
        </row>
        <row r="5">
          <cell r="K5" t="str">
            <v>BOW RIVER</v>
          </cell>
          <cell r="L5">
            <v>44136</v>
          </cell>
          <cell r="M5">
            <v>800</v>
          </cell>
          <cell r="N5">
            <v>-0.45</v>
          </cell>
          <cell r="O5">
            <v>825</v>
          </cell>
          <cell r="P5">
            <v>-0.45</v>
          </cell>
          <cell r="Q5">
            <v>0.5</v>
          </cell>
          <cell r="R5">
            <v>0.77</v>
          </cell>
          <cell r="S5">
            <v>0.5</v>
          </cell>
          <cell r="T5">
            <v>-0.77</v>
          </cell>
        </row>
        <row r="6">
          <cell r="K6" t="str">
            <v>CONDENSATE</v>
          </cell>
          <cell r="L6">
            <v>44136</v>
          </cell>
          <cell r="M6">
            <v>750</v>
          </cell>
          <cell r="N6">
            <v>0.23</v>
          </cell>
          <cell r="O6">
            <v>750</v>
          </cell>
          <cell r="P6">
            <v>-0.23</v>
          </cell>
          <cell r="Q6">
            <v>0.2</v>
          </cell>
          <cell r="R6">
            <v>1.38</v>
          </cell>
          <cell r="S6">
            <v>0.2</v>
          </cell>
          <cell r="T6">
            <v>-1.38</v>
          </cell>
        </row>
        <row r="7">
          <cell r="K7" t="str">
            <v>Butane Allowance</v>
          </cell>
          <cell r="M7">
            <v>260</v>
          </cell>
        </row>
        <row r="8">
          <cell r="K8" t="str">
            <v>Condy Allowance</v>
          </cell>
          <cell r="M8">
            <v>345.46</v>
          </cell>
        </row>
        <row r="9">
          <cell r="K9" t="str">
            <v>Heavy Allowance</v>
          </cell>
        </row>
        <row r="24">
          <cell r="D24" t="str">
            <v>PRODUCT</v>
          </cell>
          <cell r="E24" t="str">
            <v>SCALE</v>
          </cell>
          <cell r="F24" t="str">
            <v>Diff's</v>
          </cell>
          <cell r="G24" t="str">
            <v>Forecasted Dif</v>
          </cell>
          <cell r="H24" t="str">
            <v>WADF</v>
          </cell>
          <cell r="I24" t="str">
            <v>BASE PRICE</v>
          </cell>
        </row>
        <row r="25">
          <cell r="D25" t="str">
            <v>PSO INDEX</v>
          </cell>
          <cell r="E25" t="str">
            <v>INDUSTRY</v>
          </cell>
          <cell r="F25">
            <v>-4.72</v>
          </cell>
          <cell r="G25">
            <v>-8</v>
          </cell>
          <cell r="H25">
            <v>20</v>
          </cell>
          <cell r="I25">
            <v>338.96229668099994</v>
          </cell>
        </row>
        <row r="26">
          <cell r="D26" t="str">
            <v>MSO INDEX</v>
          </cell>
          <cell r="E26" t="str">
            <v>INDUSTRY</v>
          </cell>
          <cell r="F26" t="str">
            <v/>
          </cell>
          <cell r="H26">
            <v>12.05</v>
          </cell>
          <cell r="I26" t="e">
            <v>#VALUE!</v>
          </cell>
        </row>
        <row r="27">
          <cell r="D27" t="str">
            <v>MSW INDEX</v>
          </cell>
          <cell r="E27" t="str">
            <v>INDUSTRY</v>
          </cell>
          <cell r="F27">
            <v>-3.91</v>
          </cell>
          <cell r="H27">
            <v>-1.51</v>
          </cell>
          <cell r="I27">
            <v>352.71056136816998</v>
          </cell>
        </row>
        <row r="28">
          <cell r="D28" t="str">
            <v>CON INDEX</v>
          </cell>
          <cell r="E28" t="str">
            <v>CONDENSATE</v>
          </cell>
          <cell r="F28">
            <v>0.7</v>
          </cell>
          <cell r="H28">
            <v>-1.24</v>
          </cell>
          <cell r="I28">
            <v>392.72153941409994</v>
          </cell>
        </row>
        <row r="29">
          <cell r="D29" t="str">
            <v>CAB INDEX</v>
          </cell>
          <cell r="E29" t="str">
            <v>INDUSTRY</v>
          </cell>
          <cell r="F29">
            <v>-4.21</v>
          </cell>
          <cell r="H29">
            <v>21.26</v>
          </cell>
          <cell r="I29">
            <v>372.89438058426992</v>
          </cell>
        </row>
        <row r="30">
          <cell r="D30" t="str">
            <v>PSO TER POST</v>
          </cell>
          <cell r="E30" t="str">
            <v>INDUSTRY</v>
          </cell>
          <cell r="F30">
            <v>-4.72</v>
          </cell>
          <cell r="G30">
            <v>-8</v>
          </cell>
          <cell r="H30">
            <v>20</v>
          </cell>
          <cell r="I30">
            <v>327.61522507461592</v>
          </cell>
        </row>
        <row r="31">
          <cell r="D31" t="str">
            <v>MSO TER POST</v>
          </cell>
          <cell r="E31" t="str">
            <v>INDUSTRY</v>
          </cell>
          <cell r="F31" t="str">
            <v/>
          </cell>
          <cell r="G31" t="str">
            <v/>
          </cell>
          <cell r="H31">
            <v>12.05</v>
          </cell>
          <cell r="I31" t="e">
            <v>#VALUE!</v>
          </cell>
        </row>
        <row r="32">
          <cell r="D32" t="str">
            <v>MSW TER POST</v>
          </cell>
          <cell r="E32" t="str">
            <v>INDUSTRY</v>
          </cell>
          <cell r="F32">
            <v>-3.91</v>
          </cell>
          <cell r="G32" t="str">
            <v/>
          </cell>
          <cell r="H32">
            <v>-1.51</v>
          </cell>
          <cell r="I32">
            <v>341.19903944864996</v>
          </cell>
        </row>
        <row r="33">
          <cell r="D33" t="str">
            <v>CON TER POST</v>
          </cell>
          <cell r="E33" t="str">
            <v>CONDENSATE</v>
          </cell>
          <cell r="F33">
            <v>0.7</v>
          </cell>
          <cell r="G33" t="str">
            <v/>
          </cell>
          <cell r="H33">
            <v>-1.24</v>
          </cell>
          <cell r="I33">
            <v>381.21001749457992</v>
          </cell>
        </row>
        <row r="34">
          <cell r="D34" t="str">
            <v>CAB TER POST</v>
          </cell>
          <cell r="E34" t="str">
            <v>INDUSTRY</v>
          </cell>
          <cell r="F34">
            <v>-4.21</v>
          </cell>
          <cell r="G34" t="str">
            <v/>
          </cell>
          <cell r="H34">
            <v>21.26</v>
          </cell>
          <cell r="I34">
            <v>361.79398444758993</v>
          </cell>
        </row>
        <row r="35">
          <cell r="D35" t="str">
            <v>BL TER POST</v>
          </cell>
          <cell r="E35" t="str">
            <v>INDUSTRY</v>
          </cell>
          <cell r="F35">
            <v>0</v>
          </cell>
          <cell r="H35">
            <v>0</v>
          </cell>
          <cell r="I35">
            <v>299.63367690220002</v>
          </cell>
        </row>
        <row r="36">
          <cell r="D36" t="str">
            <v>BRN INDEX</v>
          </cell>
          <cell r="E36" t="str">
            <v>BOW RIVER</v>
          </cell>
          <cell r="F36">
            <v>-9.3099999999999987</v>
          </cell>
          <cell r="H36" t="e">
            <v>#N/A</v>
          </cell>
          <cell r="I36" t="e">
            <v>#N/A</v>
          </cell>
        </row>
        <row r="37">
          <cell r="D37" t="str">
            <v>BRS INDEX</v>
          </cell>
          <cell r="E37" t="str">
            <v>BOW RIVER</v>
          </cell>
          <cell r="F37">
            <v>-8.68</v>
          </cell>
          <cell r="H37" t="e">
            <v>#N/A</v>
          </cell>
          <cell r="I37" t="e">
            <v>#N/A</v>
          </cell>
        </row>
        <row r="38">
          <cell r="D38" t="str">
            <v>LSB INDEX</v>
          </cell>
          <cell r="E38" t="str">
            <v>INDUSTRY</v>
          </cell>
          <cell r="F38">
            <v>-3.7</v>
          </cell>
          <cell r="H38">
            <v>6.68</v>
          </cell>
          <cell r="I38">
            <v>362.71088791689994</v>
          </cell>
        </row>
        <row r="39">
          <cell r="D39" t="str">
            <v>MED INDEX</v>
          </cell>
          <cell r="E39" t="str">
            <v>INDUSTRY</v>
          </cell>
          <cell r="F39" t="str">
            <v/>
          </cell>
          <cell r="H39">
            <v>40.200000000000003</v>
          </cell>
          <cell r="I39" t="e">
            <v>#VALUE!</v>
          </cell>
        </row>
        <row r="40">
          <cell r="D40" t="str">
            <v>WCS INDEX</v>
          </cell>
          <cell r="E40" t="str">
            <v>NONE</v>
          </cell>
          <cell r="F40">
            <v>-9.7799999999999994</v>
          </cell>
          <cell r="H40">
            <v>0</v>
          </cell>
          <cell r="I40">
            <v>303.61762402985994</v>
          </cell>
        </row>
        <row r="41">
          <cell r="D41" t="str">
            <v>BUTANE</v>
          </cell>
          <cell r="E41" t="str">
            <v>NONE</v>
          </cell>
          <cell r="F41">
            <v>0</v>
          </cell>
          <cell r="G41">
            <v>0.5</v>
          </cell>
          <cell r="H41">
            <v>0</v>
          </cell>
          <cell r="I41">
            <v>193.96355879249998</v>
          </cell>
        </row>
        <row r="42">
          <cell r="D42" t="str">
            <v>PHV INDEX</v>
          </cell>
          <cell r="E42" t="str">
            <v>NONE</v>
          </cell>
          <cell r="F42">
            <v>-10.45</v>
          </cell>
          <cell r="G42">
            <v>-15</v>
          </cell>
          <cell r="H42">
            <v>0</v>
          </cell>
          <cell r="I42">
            <v>258.61807838999999</v>
          </cell>
        </row>
        <row r="43">
          <cell r="D43" t="str">
            <v>WTI</v>
          </cell>
          <cell r="E43" t="str">
            <v>NONE</v>
          </cell>
          <cell r="I43">
            <v>387.92711758499996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FERENCE"/>
      <sheetName val="SUMMARY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097B-FB80-4B20-A873-D17B42527A9D}">
  <dimension ref="B3:V51"/>
  <sheetViews>
    <sheetView workbookViewId="0">
      <selection activeCell="B28" sqref="B28"/>
    </sheetView>
  </sheetViews>
  <sheetFormatPr defaultRowHeight="15" x14ac:dyDescent="0.25"/>
  <cols>
    <col min="2" max="2" width="52.85546875" customWidth="1"/>
    <col min="3" max="4" width="11.140625" customWidth="1"/>
    <col min="9" max="9" width="19.28515625" customWidth="1"/>
  </cols>
  <sheetData>
    <row r="3" spans="2:4" ht="30" customHeight="1" x14ac:dyDescent="0.25">
      <c r="C3" s="1" t="s">
        <v>339</v>
      </c>
    </row>
    <row r="4" spans="2:4" ht="30" customHeight="1" x14ac:dyDescent="0.25">
      <c r="B4" t="s">
        <v>399</v>
      </c>
      <c r="C4" s="613">
        <v>45413</v>
      </c>
    </row>
    <row r="5" spans="2:4" ht="30" customHeight="1" x14ac:dyDescent="0.25">
      <c r="B5" t="s">
        <v>378</v>
      </c>
      <c r="C5" s="25">
        <v>21147</v>
      </c>
      <c r="D5" s="1" t="s">
        <v>173</v>
      </c>
    </row>
    <row r="6" spans="2:4" ht="30" customHeight="1" x14ac:dyDescent="0.25">
      <c r="B6" t="s">
        <v>397</v>
      </c>
      <c r="C6" s="615">
        <v>0.65</v>
      </c>
      <c r="D6" s="1" t="s">
        <v>344</v>
      </c>
    </row>
    <row r="7" spans="2:4" ht="30" customHeight="1" x14ac:dyDescent="0.25">
      <c r="B7" t="s">
        <v>328</v>
      </c>
      <c r="C7" s="25">
        <v>660</v>
      </c>
      <c r="D7" s="1" t="s">
        <v>131</v>
      </c>
    </row>
    <row r="8" spans="2:4" ht="30" customHeight="1" x14ac:dyDescent="0.25">
      <c r="B8" t="s">
        <v>329</v>
      </c>
      <c r="C8" s="616">
        <v>1.4999999999999999E-4</v>
      </c>
      <c r="D8" s="1" t="s">
        <v>330</v>
      </c>
    </row>
    <row r="9" spans="2:4" ht="30" customHeight="1" x14ac:dyDescent="0.25">
      <c r="B9" t="s">
        <v>353</v>
      </c>
      <c r="C9" s="608">
        <v>8.5</v>
      </c>
      <c r="D9" s="1" t="s">
        <v>111</v>
      </c>
    </row>
    <row r="10" spans="2:4" ht="30" customHeight="1" x14ac:dyDescent="0.25">
      <c r="B10" s="609" t="s">
        <v>461</v>
      </c>
      <c r="C10" s="814">
        <f>'Spur-Netback'!I9</f>
        <v>32.586206896551722</v>
      </c>
      <c r="D10" s="1" t="s">
        <v>111</v>
      </c>
    </row>
    <row r="11" spans="2:4" ht="30" customHeight="1" x14ac:dyDescent="0.25">
      <c r="B11" s="609" t="s">
        <v>354</v>
      </c>
      <c r="C11" s="814">
        <f>'Spur-Netback'!I11</f>
        <v>29.68965517241379</v>
      </c>
      <c r="D11" s="1" t="s">
        <v>111</v>
      </c>
    </row>
    <row r="12" spans="2:4" ht="30" customHeight="1" x14ac:dyDescent="0.25">
      <c r="B12" s="609" t="s">
        <v>355</v>
      </c>
      <c r="C12" s="814">
        <f>'Spur-Netback'!I12</f>
        <v>25.344827586206897</v>
      </c>
      <c r="D12" s="1" t="s">
        <v>111</v>
      </c>
    </row>
    <row r="13" spans="2:4" ht="30" customHeight="1" x14ac:dyDescent="0.25">
      <c r="B13" t="s">
        <v>327</v>
      </c>
      <c r="C13" s="25">
        <v>730</v>
      </c>
      <c r="D13" s="1" t="s">
        <v>131</v>
      </c>
    </row>
    <row r="14" spans="2:4" ht="30" customHeight="1" x14ac:dyDescent="0.25">
      <c r="B14" t="s">
        <v>345</v>
      </c>
      <c r="C14" s="25">
        <v>737</v>
      </c>
      <c r="D14" s="1" t="s">
        <v>131</v>
      </c>
    </row>
    <row r="15" spans="2:4" ht="30" customHeight="1" x14ac:dyDescent="0.25">
      <c r="B15" t="s">
        <v>398</v>
      </c>
      <c r="C15" s="617">
        <f>'UtikuSouthTT DilFee Nipisi'!B10</f>
        <v>0.47499999999999998</v>
      </c>
      <c r="D15" s="1" t="s">
        <v>360</v>
      </c>
    </row>
    <row r="16" spans="2:4" ht="30" customHeight="1" x14ac:dyDescent="0.25">
      <c r="B16" t="s">
        <v>429</v>
      </c>
      <c r="C16" s="25">
        <v>965</v>
      </c>
      <c r="D16" s="1" t="s">
        <v>131</v>
      </c>
    </row>
    <row r="17" spans="2:4" ht="30" customHeight="1" x14ac:dyDescent="0.25">
      <c r="B17" s="609" t="s">
        <v>441</v>
      </c>
      <c r="C17" s="766">
        <f>_xlfn.XLOOKUP($C$4,MonthlyData!$B:$B,MonthlyData!$CB:$CB)</f>
        <v>924.2</v>
      </c>
      <c r="D17" s="1" t="s">
        <v>131</v>
      </c>
    </row>
    <row r="18" spans="2:4" ht="30" customHeight="1" x14ac:dyDescent="0.25">
      <c r="B18" t="s">
        <v>410</v>
      </c>
      <c r="C18" s="766">
        <f>_xlfn.XLOOKUP($C$4,MonthlyData!$B:$B,MonthlyData!$CC:$CC)</f>
        <v>924.4</v>
      </c>
      <c r="D18" s="1" t="s">
        <v>131</v>
      </c>
    </row>
    <row r="19" spans="2:4" ht="30" customHeight="1" x14ac:dyDescent="0.25">
      <c r="B19" t="s">
        <v>470</v>
      </c>
      <c r="C19" s="608">
        <v>5.25</v>
      </c>
      <c r="D19" s="1" t="s">
        <v>111</v>
      </c>
    </row>
    <row r="20" spans="2:4" ht="30" customHeight="1" x14ac:dyDescent="0.25">
      <c r="B20" t="s">
        <v>468</v>
      </c>
      <c r="C20" s="608">
        <v>4.7</v>
      </c>
      <c r="D20" s="1" t="s">
        <v>111</v>
      </c>
    </row>
    <row r="21" spans="2:4" ht="30" customHeight="1" x14ac:dyDescent="0.25">
      <c r="B21" t="s">
        <v>469</v>
      </c>
      <c r="C21" s="608">
        <v>0.1</v>
      </c>
      <c r="D21" s="1" t="s">
        <v>111</v>
      </c>
    </row>
    <row r="22" spans="2:4" ht="30" customHeight="1" x14ac:dyDescent="0.25">
      <c r="B22" t="s">
        <v>357</v>
      </c>
      <c r="C22" s="619">
        <v>0.9</v>
      </c>
      <c r="D22" s="1" t="s">
        <v>112</v>
      </c>
    </row>
    <row r="23" spans="2:4" ht="30" customHeight="1" x14ac:dyDescent="0.25">
      <c r="B23" t="s">
        <v>498</v>
      </c>
      <c r="C23" s="619">
        <v>0.85</v>
      </c>
      <c r="D23" s="1" t="s">
        <v>112</v>
      </c>
    </row>
    <row r="24" spans="2:4" ht="30" customHeight="1" x14ac:dyDescent="0.25">
      <c r="B24" t="s">
        <v>361</v>
      </c>
      <c r="C24" s="25" t="s">
        <v>362</v>
      </c>
    </row>
    <row r="25" spans="2:4" ht="30" customHeight="1" x14ac:dyDescent="0.25">
      <c r="B25" t="s">
        <v>368</v>
      </c>
      <c r="C25" s="620">
        <v>3.1899999999999998E-2</v>
      </c>
      <c r="D25" s="1" t="s">
        <v>369</v>
      </c>
    </row>
    <row r="26" spans="2:4" ht="30" customHeight="1" x14ac:dyDescent="0.25">
      <c r="B26" t="s">
        <v>393</v>
      </c>
      <c r="C26" s="620">
        <v>2E-3</v>
      </c>
    </row>
    <row r="27" spans="2:4" ht="30" customHeight="1" x14ac:dyDescent="0.25">
      <c r="B27" t="s">
        <v>394</v>
      </c>
      <c r="C27" s="620">
        <v>2E-3</v>
      </c>
    </row>
    <row r="28" spans="2:4" ht="30" customHeight="1" x14ac:dyDescent="0.25">
      <c r="B28" t="s">
        <v>460</v>
      </c>
      <c r="C28" s="813">
        <v>1.1000000000000001</v>
      </c>
    </row>
    <row r="30" spans="2:4" x14ac:dyDescent="0.25">
      <c r="B30" s="618" t="s">
        <v>367</v>
      </c>
    </row>
    <row r="31" spans="2:4" x14ac:dyDescent="0.25">
      <c r="B31" t="s">
        <v>362</v>
      </c>
    </row>
    <row r="32" spans="2:4" x14ac:dyDescent="0.25">
      <c r="B32" t="s">
        <v>363</v>
      </c>
    </row>
    <row r="33" spans="2:2" x14ac:dyDescent="0.25">
      <c r="B33" t="s">
        <v>364</v>
      </c>
    </row>
    <row r="34" spans="2:2" x14ac:dyDescent="0.25">
      <c r="B34" t="s">
        <v>365</v>
      </c>
    </row>
    <row r="35" spans="2:2" x14ac:dyDescent="0.25">
      <c r="B35" t="s">
        <v>366</v>
      </c>
    </row>
    <row r="37" spans="2:2" x14ac:dyDescent="0.25">
      <c r="B37" s="11" t="s">
        <v>400</v>
      </c>
    </row>
    <row r="38" spans="2:2" x14ac:dyDescent="0.25">
      <c r="B38" t="s">
        <v>401</v>
      </c>
    </row>
    <row r="39" spans="2:2" x14ac:dyDescent="0.25">
      <c r="B39" t="s">
        <v>402</v>
      </c>
    </row>
    <row r="40" spans="2:2" x14ac:dyDescent="0.25">
      <c r="B40" t="s">
        <v>403</v>
      </c>
    </row>
    <row r="41" spans="2:2" x14ac:dyDescent="0.25">
      <c r="B41" t="s">
        <v>404</v>
      </c>
    </row>
    <row r="42" spans="2:2" x14ac:dyDescent="0.25">
      <c r="B42" t="s">
        <v>384</v>
      </c>
    </row>
    <row r="43" spans="2:2" x14ac:dyDescent="0.25">
      <c r="B43" t="s">
        <v>385</v>
      </c>
    </row>
    <row r="44" spans="2:2" x14ac:dyDescent="0.25">
      <c r="B44" t="s">
        <v>386</v>
      </c>
    </row>
    <row r="45" spans="2:2" x14ac:dyDescent="0.25">
      <c r="B45" t="s">
        <v>405</v>
      </c>
    </row>
    <row r="46" spans="2:2" x14ac:dyDescent="0.25">
      <c r="B46" t="s">
        <v>406</v>
      </c>
    </row>
    <row r="47" spans="2:2" x14ac:dyDescent="0.25">
      <c r="B47" t="s">
        <v>407</v>
      </c>
    </row>
    <row r="48" spans="2:2" x14ac:dyDescent="0.25">
      <c r="B48" t="s">
        <v>408</v>
      </c>
    </row>
    <row r="49" spans="2:22" x14ac:dyDescent="0.25">
      <c r="B49" t="s">
        <v>409</v>
      </c>
    </row>
    <row r="51" spans="2:22" x14ac:dyDescent="0.25">
      <c r="B51" s="11" t="s">
        <v>399</v>
      </c>
      <c r="C51" s="16">
        <v>45200</v>
      </c>
      <c r="D51" s="16">
        <v>45231</v>
      </c>
      <c r="E51" s="16">
        <v>45261</v>
      </c>
      <c r="F51" s="16">
        <v>45292</v>
      </c>
      <c r="G51" s="16">
        <v>45323</v>
      </c>
      <c r="H51" s="16">
        <v>45352</v>
      </c>
      <c r="I51" s="16">
        <v>45383</v>
      </c>
      <c r="J51" s="16">
        <v>45413</v>
      </c>
      <c r="K51" s="16">
        <v>45444</v>
      </c>
      <c r="L51" s="16">
        <v>45474</v>
      </c>
      <c r="M51" s="16">
        <v>45505</v>
      </c>
      <c r="N51" s="16">
        <v>45536</v>
      </c>
      <c r="O51" s="16">
        <v>45566</v>
      </c>
      <c r="P51" s="16">
        <v>45597</v>
      </c>
      <c r="Q51" s="16">
        <v>45627</v>
      </c>
      <c r="R51" s="16">
        <v>45658</v>
      </c>
      <c r="S51" s="16">
        <v>45689</v>
      </c>
      <c r="T51" s="16">
        <v>45717</v>
      </c>
      <c r="U51" s="16">
        <v>45748</v>
      </c>
      <c r="V51" s="16">
        <v>45778</v>
      </c>
    </row>
  </sheetData>
  <dataValidations count="2">
    <dataValidation type="list" allowBlank="1" showInputMessage="1" showErrorMessage="1" sqref="C24" xr:uid="{F27B9155-6BE0-44C9-9703-B122D8B5C491}">
      <formula1>$B$31:$B$35</formula1>
    </dataValidation>
    <dataValidation type="list" allowBlank="1" showInputMessage="1" showErrorMessage="1" sqref="C4" xr:uid="{F5AF4ECF-6215-41BF-A877-45C3104551CC}">
      <formula1>$C$51:$V$51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CAFD-2CA5-43F2-9E5A-C39AC1C85E5B}">
  <dimension ref="B1:AQ149"/>
  <sheetViews>
    <sheetView topLeftCell="A86" zoomScale="80" zoomScaleNormal="80" workbookViewId="0">
      <selection activeCell="E117" sqref="E117"/>
    </sheetView>
  </sheetViews>
  <sheetFormatPr defaultRowHeight="15" x14ac:dyDescent="0.25"/>
  <cols>
    <col min="2" max="2" width="53.42578125" customWidth="1"/>
    <col min="3" max="10" width="13.7109375" customWidth="1"/>
    <col min="11" max="12" width="12" customWidth="1"/>
    <col min="13" max="15" width="12.42578125" customWidth="1"/>
    <col min="16" max="18" width="12" customWidth="1"/>
    <col min="19" max="22" width="14" customWidth="1"/>
    <col min="23" max="23" width="25.7109375" customWidth="1"/>
    <col min="24" max="35" width="9.28515625" customWidth="1"/>
    <col min="41" max="43" width="9.28515625" customWidth="1"/>
  </cols>
  <sheetData>
    <row r="1" spans="2:35" ht="15.75" thickBot="1" x14ac:dyDescent="0.3"/>
    <row r="2" spans="2:35" ht="45" x14ac:dyDescent="0.25">
      <c r="B2" s="12" t="s">
        <v>494</v>
      </c>
      <c r="C2" s="4" t="s">
        <v>11</v>
      </c>
      <c r="D2" s="4" t="s">
        <v>12</v>
      </c>
      <c r="E2" s="4" t="s">
        <v>14</v>
      </c>
      <c r="F2" s="4" t="s">
        <v>13</v>
      </c>
      <c r="G2" s="4" t="s">
        <v>41</v>
      </c>
      <c r="H2" s="4" t="s">
        <v>414</v>
      </c>
      <c r="I2" s="6" t="s">
        <v>495</v>
      </c>
    </row>
    <row r="3" spans="2:35" x14ac:dyDescent="0.25">
      <c r="B3" s="805" t="s">
        <v>462</v>
      </c>
      <c r="C3" s="906">
        <v>3.5</v>
      </c>
      <c r="D3" s="907">
        <f>C3*2</f>
        <v>7</v>
      </c>
      <c r="E3" s="908">
        <f>IF(C3&gt;0, 2, 0)</f>
        <v>2</v>
      </c>
      <c r="F3" s="907">
        <f>E3+D3</f>
        <v>9</v>
      </c>
      <c r="G3" s="815">
        <v>210</v>
      </c>
      <c r="H3" s="909">
        <v>62</v>
      </c>
      <c r="I3" s="806">
        <f>(F3*G3)/H3</f>
        <v>30.483870967741936</v>
      </c>
    </row>
    <row r="4" spans="2:35" x14ac:dyDescent="0.25">
      <c r="B4" s="7" t="s">
        <v>341</v>
      </c>
      <c r="C4" s="910">
        <v>3.1</v>
      </c>
      <c r="D4" s="911">
        <f t="shared" ref="D4" si="0">C4*2</f>
        <v>6.2</v>
      </c>
      <c r="E4" s="912">
        <f t="shared" ref="E4" si="1">IF(C4&gt;0, 2, 0)</f>
        <v>2</v>
      </c>
      <c r="F4" s="911">
        <f t="shared" ref="F4" si="2">E4+D4</f>
        <v>8.1999999999999993</v>
      </c>
      <c r="G4" s="2">
        <f>$G$15</f>
        <v>210</v>
      </c>
      <c r="H4" s="912">
        <f>H$3</f>
        <v>62</v>
      </c>
      <c r="I4" s="610">
        <f t="shared" ref="I4" si="3">(F4*G4)/H4</f>
        <v>27.774193548387093</v>
      </c>
    </row>
    <row r="5" spans="2:35" x14ac:dyDescent="0.25">
      <c r="B5" s="805" t="s">
        <v>463</v>
      </c>
      <c r="C5" s="906">
        <v>3.1</v>
      </c>
      <c r="D5" s="907">
        <f>C5*2</f>
        <v>6.2</v>
      </c>
      <c r="E5" s="908">
        <f>IF(C5&gt;0, 2, 0)</f>
        <v>2</v>
      </c>
      <c r="F5" s="907">
        <f>E5+D5</f>
        <v>8.1999999999999993</v>
      </c>
      <c r="G5" s="804">
        <f>$G$15</f>
        <v>210</v>
      </c>
      <c r="H5" s="912">
        <f t="shared" ref="H5:H6" si="4">H$3</f>
        <v>62</v>
      </c>
      <c r="I5" s="806">
        <f>(F5*G5)/H5</f>
        <v>27.774193548387093</v>
      </c>
    </row>
    <row r="6" spans="2:35" ht="15.75" thickBot="1" x14ac:dyDescent="0.3">
      <c r="B6" s="807" t="s">
        <v>342</v>
      </c>
      <c r="C6" s="808">
        <v>2.5</v>
      </c>
      <c r="D6" s="809">
        <f t="shared" ref="D6" si="5">C6*2</f>
        <v>5</v>
      </c>
      <c r="E6" s="810">
        <f t="shared" ref="E6" si="6">IF(C6&gt;0, 2, 0)</f>
        <v>2</v>
      </c>
      <c r="F6" s="809">
        <f t="shared" ref="F6" si="7">E6+D6</f>
        <v>7</v>
      </c>
      <c r="G6" s="811">
        <f>$G$15</f>
        <v>210</v>
      </c>
      <c r="H6" s="810">
        <f t="shared" si="4"/>
        <v>62</v>
      </c>
      <c r="I6" s="812">
        <f t="shared" ref="I6" si="8">(F6*G6)/H6</f>
        <v>23.70967741935484</v>
      </c>
    </row>
    <row r="7" spans="2:35" ht="15.75" thickBot="1" x14ac:dyDescent="0.3"/>
    <row r="8" spans="2:35" ht="45" x14ac:dyDescent="0.25">
      <c r="B8" s="12" t="s">
        <v>464</v>
      </c>
      <c r="C8" s="4" t="s">
        <v>11</v>
      </c>
      <c r="D8" s="4" t="s">
        <v>12</v>
      </c>
      <c r="E8" s="4" t="s">
        <v>14</v>
      </c>
      <c r="F8" s="4" t="s">
        <v>13</v>
      </c>
      <c r="G8" s="4" t="s">
        <v>41</v>
      </c>
      <c r="H8" s="4" t="s">
        <v>414</v>
      </c>
      <c r="I8" s="6" t="s">
        <v>466</v>
      </c>
    </row>
    <row r="9" spans="2:35" x14ac:dyDescent="0.25">
      <c r="B9" s="805" t="s">
        <v>462</v>
      </c>
      <c r="C9" s="803">
        <v>3.5</v>
      </c>
      <c r="D9" s="798">
        <f>C9*2</f>
        <v>7</v>
      </c>
      <c r="E9" s="799">
        <f>IF(C9&gt;0, 2, 0)</f>
        <v>2</v>
      </c>
      <c r="F9" s="798">
        <f>E9+D9</f>
        <v>9</v>
      </c>
      <c r="G9" s="815">
        <v>210</v>
      </c>
      <c r="H9" s="816">
        <v>58</v>
      </c>
      <c r="I9" s="806">
        <f>(F9*G9)/H9</f>
        <v>32.586206896551722</v>
      </c>
    </row>
    <row r="10" spans="2:35" x14ac:dyDescent="0.25">
      <c r="B10" s="7" t="s">
        <v>341</v>
      </c>
      <c r="C10" s="801">
        <v>3.1</v>
      </c>
      <c r="D10" s="10">
        <f t="shared" ref="D10" si="9">C10*2</f>
        <v>6.2</v>
      </c>
      <c r="E10" s="1">
        <f t="shared" ref="E10" si="10">IF(C10&gt;0, 2, 0)</f>
        <v>2</v>
      </c>
      <c r="F10" s="10">
        <f t="shared" ref="F10" si="11">E10+D10</f>
        <v>8.1999999999999993</v>
      </c>
      <c r="G10" s="2">
        <f>$G$15</f>
        <v>210</v>
      </c>
      <c r="H10" s="1">
        <f>H$9</f>
        <v>58</v>
      </c>
      <c r="I10" s="610">
        <f t="shared" ref="I10" si="12">(F10*G10)/H10</f>
        <v>29.68965517241379</v>
      </c>
    </row>
    <row r="11" spans="2:35" x14ac:dyDescent="0.25">
      <c r="B11" s="805" t="s">
        <v>463</v>
      </c>
      <c r="C11" s="803">
        <v>3.1</v>
      </c>
      <c r="D11" s="798">
        <f>C11*2</f>
        <v>6.2</v>
      </c>
      <c r="E11" s="799">
        <f>IF(C11&gt;0, 2, 0)</f>
        <v>2</v>
      </c>
      <c r="F11" s="798">
        <f>E11+D11</f>
        <v>8.1999999999999993</v>
      </c>
      <c r="G11" s="804">
        <f>$G$15</f>
        <v>210</v>
      </c>
      <c r="H11" s="1">
        <f t="shared" ref="H11:H12" si="13">H$9</f>
        <v>58</v>
      </c>
      <c r="I11" s="806">
        <f>(F11*G11)/H11</f>
        <v>29.68965517241379</v>
      </c>
    </row>
    <row r="12" spans="2:35" ht="15.75" thickBot="1" x14ac:dyDescent="0.3">
      <c r="B12" s="807" t="s">
        <v>342</v>
      </c>
      <c r="C12" s="808">
        <v>2.5</v>
      </c>
      <c r="D12" s="809">
        <f t="shared" ref="D12" si="14">C12*2</f>
        <v>5</v>
      </c>
      <c r="E12" s="810">
        <f t="shared" ref="E12" si="15">IF(C12&gt;0, 2, 0)</f>
        <v>2</v>
      </c>
      <c r="F12" s="809">
        <f t="shared" ref="F12" si="16">E12+D12</f>
        <v>7</v>
      </c>
      <c r="G12" s="811">
        <f>$G$15</f>
        <v>210</v>
      </c>
      <c r="H12" s="810">
        <f t="shared" si="13"/>
        <v>58</v>
      </c>
      <c r="I12" s="812">
        <f t="shared" ref="I12" si="17">(F12*G12)/H12</f>
        <v>25.344827586206897</v>
      </c>
    </row>
    <row r="13" spans="2:35" ht="15.75" thickBot="1" x14ac:dyDescent="0.3"/>
    <row r="14" spans="2:35" ht="65.25" customHeight="1" x14ac:dyDescent="0.25">
      <c r="B14" s="12" t="s">
        <v>465</v>
      </c>
      <c r="C14" s="4" t="s">
        <v>11</v>
      </c>
      <c r="D14" s="4" t="s">
        <v>12</v>
      </c>
      <c r="E14" s="4" t="s">
        <v>14</v>
      </c>
      <c r="F14" s="4" t="s">
        <v>13</v>
      </c>
      <c r="G14" s="4" t="s">
        <v>41</v>
      </c>
      <c r="H14" s="4" t="s">
        <v>414</v>
      </c>
      <c r="I14" s="6" t="s">
        <v>413</v>
      </c>
      <c r="W14" s="609" t="s">
        <v>396</v>
      </c>
      <c r="X14" s="764" t="s">
        <v>380</v>
      </c>
      <c r="Y14" s="764" t="s">
        <v>381</v>
      </c>
      <c r="Z14" s="764" t="s">
        <v>382</v>
      </c>
      <c r="AA14" s="764" t="s">
        <v>383</v>
      </c>
      <c r="AB14" s="764" t="s">
        <v>384</v>
      </c>
      <c r="AC14" s="764" t="s">
        <v>385</v>
      </c>
      <c r="AD14" s="764" t="s">
        <v>386</v>
      </c>
      <c r="AE14" s="764" t="s">
        <v>387</v>
      </c>
      <c r="AF14" s="764" t="s">
        <v>388</v>
      </c>
      <c r="AG14" s="764" t="s">
        <v>389</v>
      </c>
      <c r="AH14" s="764" t="s">
        <v>391</v>
      </c>
      <c r="AI14" s="764" t="s">
        <v>392</v>
      </c>
    </row>
    <row r="15" spans="2:35" x14ac:dyDescent="0.25">
      <c r="B15" s="7" t="s">
        <v>340</v>
      </c>
      <c r="C15" s="801">
        <v>0</v>
      </c>
      <c r="D15" s="10">
        <f t="shared" ref="D15:D22" si="18">C15*2</f>
        <v>0</v>
      </c>
      <c r="E15" s="1">
        <v>2</v>
      </c>
      <c r="F15" s="10">
        <f t="shared" ref="F15:F22" si="19">E15+D15</f>
        <v>2</v>
      </c>
      <c r="G15" s="614">
        <v>210</v>
      </c>
      <c r="H15" s="802">
        <v>35</v>
      </c>
      <c r="I15" s="610">
        <f t="shared" ref="I15:I22" si="20">(F15*G15)/H15</f>
        <v>12</v>
      </c>
      <c r="P15" s="1"/>
      <c r="Q15" s="1"/>
      <c r="W15" t="s">
        <v>395</v>
      </c>
      <c r="X15" s="10">
        <v>923.8</v>
      </c>
      <c r="Y15" s="10">
        <v>924.8</v>
      </c>
      <c r="Z15" s="10">
        <v>927.9</v>
      </c>
      <c r="AA15" s="10">
        <v>922</v>
      </c>
      <c r="AB15" s="10">
        <v>922.4</v>
      </c>
      <c r="AC15" s="10">
        <v>919.2</v>
      </c>
      <c r="AD15" s="10">
        <v>927</v>
      </c>
      <c r="AE15" s="10">
        <v>929.4</v>
      </c>
      <c r="AF15" s="10">
        <v>936.5</v>
      </c>
      <c r="AG15" s="10">
        <v>936.3</v>
      </c>
      <c r="AH15" s="10">
        <v>925.9</v>
      </c>
      <c r="AI15" s="10">
        <v>923.5</v>
      </c>
    </row>
    <row r="16" spans="2:35" x14ac:dyDescent="0.25">
      <c r="B16" s="805" t="s">
        <v>462</v>
      </c>
      <c r="C16" s="803">
        <v>0.1</v>
      </c>
      <c r="D16" s="798">
        <f>C16*2</f>
        <v>0.2</v>
      </c>
      <c r="E16" s="799">
        <f>IF(C16&gt;0, 2, 0)</f>
        <v>2</v>
      </c>
      <c r="F16" s="798">
        <f>E16+D16</f>
        <v>2.2000000000000002</v>
      </c>
      <c r="G16" s="804">
        <f t="shared" ref="G16:G22" si="21">$G$15</f>
        <v>210</v>
      </c>
      <c r="H16" s="799">
        <v>35</v>
      </c>
      <c r="I16" s="806">
        <f>(F16*G16)/H16</f>
        <v>13.200000000000001</v>
      </c>
      <c r="P16" s="1"/>
      <c r="Q16" s="1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2:35" x14ac:dyDescent="0.25">
      <c r="B17" s="7" t="s">
        <v>341</v>
      </c>
      <c r="C17" s="801">
        <v>0.4</v>
      </c>
      <c r="D17" s="10">
        <f t="shared" si="18"/>
        <v>0.8</v>
      </c>
      <c r="E17" s="1">
        <f t="shared" ref="E17:E22" si="22">IF(C17&gt;0, 2, 0)</f>
        <v>2</v>
      </c>
      <c r="F17" s="10">
        <f t="shared" si="19"/>
        <v>2.8</v>
      </c>
      <c r="G17" s="2">
        <f>$G$15</f>
        <v>210</v>
      </c>
      <c r="H17" s="1">
        <v>35</v>
      </c>
      <c r="I17" s="610">
        <f t="shared" si="20"/>
        <v>16.8</v>
      </c>
      <c r="P17" s="1"/>
      <c r="Q17" s="1"/>
      <c r="W17" t="s">
        <v>379</v>
      </c>
      <c r="X17" s="10">
        <v>926.4</v>
      </c>
      <c r="Y17" s="10">
        <v>920.1</v>
      </c>
      <c r="Z17" s="10">
        <v>920.2</v>
      </c>
      <c r="AA17" s="10">
        <v>921.2</v>
      </c>
      <c r="AB17" s="10">
        <v>924.1</v>
      </c>
      <c r="AC17" s="10">
        <v>924.6</v>
      </c>
      <c r="AD17" s="10">
        <v>931.3</v>
      </c>
      <c r="AE17" s="10">
        <v>932.9</v>
      </c>
      <c r="AF17" s="10">
        <v>934</v>
      </c>
      <c r="AG17" s="10">
        <v>934.4</v>
      </c>
      <c r="AH17" s="10">
        <v>930.6</v>
      </c>
      <c r="AI17" s="10">
        <v>925.3</v>
      </c>
    </row>
    <row r="18" spans="2:35" x14ac:dyDescent="0.25">
      <c r="B18" s="805" t="s">
        <v>463</v>
      </c>
      <c r="C18" s="803">
        <v>0.4</v>
      </c>
      <c r="D18" s="798">
        <f>C18*2</f>
        <v>0.8</v>
      </c>
      <c r="E18" s="799">
        <f>IF(C18&gt;0, 2, 0)</f>
        <v>2</v>
      </c>
      <c r="F18" s="798">
        <f>E18+D18</f>
        <v>2.8</v>
      </c>
      <c r="G18" s="804">
        <f t="shared" si="21"/>
        <v>210</v>
      </c>
      <c r="H18" s="799">
        <v>35</v>
      </c>
      <c r="I18" s="806">
        <f>(F18*G18)/H18</f>
        <v>16.8</v>
      </c>
      <c r="P18" s="1"/>
      <c r="Q18" s="1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2:35" x14ac:dyDescent="0.25">
      <c r="B19" s="7" t="s">
        <v>342</v>
      </c>
      <c r="C19" s="801">
        <v>1</v>
      </c>
      <c r="D19" s="10">
        <f t="shared" si="18"/>
        <v>2</v>
      </c>
      <c r="E19" s="1">
        <f t="shared" si="22"/>
        <v>2</v>
      </c>
      <c r="F19" s="10">
        <f t="shared" si="19"/>
        <v>4</v>
      </c>
      <c r="G19" s="2">
        <f t="shared" si="21"/>
        <v>210</v>
      </c>
      <c r="H19" s="1">
        <v>35</v>
      </c>
      <c r="I19" s="610">
        <f t="shared" si="20"/>
        <v>24</v>
      </c>
      <c r="P19" s="1"/>
      <c r="Q19" s="1"/>
      <c r="W19" t="s">
        <v>390</v>
      </c>
      <c r="X19" s="10">
        <v>921.6</v>
      </c>
      <c r="Y19" s="10">
        <v>921.9</v>
      </c>
      <c r="Z19" s="10">
        <v>920.6</v>
      </c>
      <c r="AA19" s="10">
        <v>921.6</v>
      </c>
      <c r="AB19" s="10">
        <v>922.8</v>
      </c>
      <c r="AC19" s="10">
        <v>927.1</v>
      </c>
      <c r="AD19" s="62"/>
      <c r="AE19" s="62"/>
      <c r="AF19" s="62"/>
      <c r="AG19" s="62"/>
      <c r="AH19" s="62"/>
      <c r="AI19" s="62"/>
    </row>
    <row r="20" spans="2:35" x14ac:dyDescent="0.25">
      <c r="B20" s="7" t="s">
        <v>456</v>
      </c>
      <c r="C20" s="801">
        <v>1.8</v>
      </c>
      <c r="D20" s="10">
        <f t="shared" ref="D20" si="23">C20*2</f>
        <v>3.6</v>
      </c>
      <c r="E20" s="1">
        <f t="shared" ref="E20" si="24">IF(C20&gt;0, 2, 0)</f>
        <v>2</v>
      </c>
      <c r="F20" s="10">
        <f t="shared" ref="F20" si="25">E20+D20</f>
        <v>5.6</v>
      </c>
      <c r="G20" s="2">
        <f t="shared" si="21"/>
        <v>210</v>
      </c>
      <c r="H20" s="1">
        <v>35</v>
      </c>
      <c r="I20" s="610">
        <f t="shared" ref="I20" si="26">(F20*G20)/H20</f>
        <v>33.6</v>
      </c>
      <c r="P20" s="1"/>
      <c r="Q20" s="1"/>
      <c r="X20" s="10"/>
      <c r="Y20" s="10"/>
      <c r="Z20" s="10"/>
      <c r="AA20" s="10"/>
      <c r="AB20" s="10"/>
      <c r="AC20" s="10"/>
      <c r="AD20" s="62"/>
      <c r="AE20" s="62"/>
      <c r="AF20" s="62"/>
      <c r="AG20" s="62"/>
      <c r="AH20" s="62"/>
      <c r="AI20" s="62"/>
    </row>
    <row r="21" spans="2:35" x14ac:dyDescent="0.25">
      <c r="B21" s="7" t="s">
        <v>452</v>
      </c>
      <c r="C21" s="801">
        <v>4.4000000000000004</v>
      </c>
      <c r="D21" s="10">
        <f t="shared" si="18"/>
        <v>8.8000000000000007</v>
      </c>
      <c r="E21" s="1">
        <f t="shared" si="22"/>
        <v>2</v>
      </c>
      <c r="F21" s="10">
        <f t="shared" si="19"/>
        <v>10.8</v>
      </c>
      <c r="G21" s="2">
        <f t="shared" si="21"/>
        <v>210</v>
      </c>
      <c r="H21" s="1">
        <v>35</v>
      </c>
      <c r="I21" s="610">
        <f t="shared" si="20"/>
        <v>64.8</v>
      </c>
      <c r="P21" s="1"/>
      <c r="Q21" s="1"/>
    </row>
    <row r="22" spans="2:35" ht="15.75" thickBot="1" x14ac:dyDescent="0.3">
      <c r="B22" s="807" t="s">
        <v>453</v>
      </c>
      <c r="C22" s="808">
        <v>5.85</v>
      </c>
      <c r="D22" s="809">
        <f t="shared" si="18"/>
        <v>11.7</v>
      </c>
      <c r="E22" s="810">
        <f t="shared" si="22"/>
        <v>2</v>
      </c>
      <c r="F22" s="809">
        <f t="shared" si="19"/>
        <v>13.7</v>
      </c>
      <c r="G22" s="811">
        <f t="shared" si="21"/>
        <v>210</v>
      </c>
      <c r="H22" s="810">
        <v>35</v>
      </c>
      <c r="I22" s="812">
        <f t="shared" si="20"/>
        <v>82.2</v>
      </c>
      <c r="P22" s="1"/>
      <c r="Q22" s="1"/>
      <c r="W22" t="s">
        <v>448</v>
      </c>
      <c r="X22" s="764" t="s">
        <v>380</v>
      </c>
      <c r="Y22" s="764" t="s">
        <v>381</v>
      </c>
      <c r="Z22" s="764" t="s">
        <v>382</v>
      </c>
      <c r="AA22" s="764" t="s">
        <v>383</v>
      </c>
      <c r="AB22" s="764" t="s">
        <v>384</v>
      </c>
      <c r="AC22" s="764" t="s">
        <v>385</v>
      </c>
      <c r="AD22" s="764" t="s">
        <v>386</v>
      </c>
      <c r="AE22" s="764" t="s">
        <v>387</v>
      </c>
      <c r="AF22" s="764" t="s">
        <v>388</v>
      </c>
      <c r="AG22" s="764" t="s">
        <v>389</v>
      </c>
      <c r="AH22" s="764" t="s">
        <v>391</v>
      </c>
      <c r="AI22" s="764" t="s">
        <v>392</v>
      </c>
    </row>
    <row r="23" spans="2:35" x14ac:dyDescent="0.25">
      <c r="P23" s="1"/>
      <c r="Q23" s="1"/>
      <c r="W23" t="s">
        <v>449</v>
      </c>
      <c r="X23" s="10">
        <v>918</v>
      </c>
      <c r="Y23" s="10">
        <v>922.1</v>
      </c>
      <c r="Z23" s="10">
        <v>923.1</v>
      </c>
      <c r="AA23" s="10">
        <v>921.9</v>
      </c>
      <c r="AB23" s="10">
        <v>924.7</v>
      </c>
      <c r="AC23" s="10">
        <v>926.9</v>
      </c>
      <c r="AD23" s="10">
        <v>931.4</v>
      </c>
      <c r="AE23" s="10">
        <v>932</v>
      </c>
      <c r="AF23" s="10">
        <v>935.5</v>
      </c>
      <c r="AG23" s="10">
        <v>928.3</v>
      </c>
      <c r="AH23" s="10">
        <v>926.3</v>
      </c>
      <c r="AI23" s="10">
        <v>923.1</v>
      </c>
    </row>
    <row r="24" spans="2:35" ht="15.75" thickBot="1" x14ac:dyDescent="0.3">
      <c r="W24" t="s">
        <v>450</v>
      </c>
      <c r="X24" s="10">
        <v>922.3</v>
      </c>
      <c r="Y24" s="10">
        <v>922.1</v>
      </c>
      <c r="Z24" s="10">
        <v>924.4</v>
      </c>
      <c r="AA24" s="10">
        <v>921.1</v>
      </c>
      <c r="AB24" s="10">
        <v>924.8</v>
      </c>
      <c r="AC24" s="10">
        <v>928.6</v>
      </c>
      <c r="AD24" s="10">
        <v>933.6</v>
      </c>
      <c r="AE24" s="10">
        <v>931.2</v>
      </c>
      <c r="AF24" s="10">
        <v>936.1</v>
      </c>
      <c r="AG24" s="10">
        <v>930.8</v>
      </c>
      <c r="AH24" s="10">
        <v>926.2</v>
      </c>
      <c r="AI24" s="10">
        <v>921.4</v>
      </c>
    </row>
    <row r="25" spans="2:35" x14ac:dyDescent="0.25">
      <c r="B25" s="17" t="s">
        <v>359</v>
      </c>
      <c r="C25" s="753">
        <f>Inputs!C4</f>
        <v>45413</v>
      </c>
      <c r="D25" s="18"/>
      <c r="E25" s="18"/>
      <c r="F25" s="18"/>
      <c r="G25" s="18"/>
      <c r="H25" s="18"/>
      <c r="I25" s="18"/>
      <c r="J25" s="19"/>
      <c r="W25" t="s">
        <v>451</v>
      </c>
      <c r="X25" s="10">
        <v>920.4</v>
      </c>
      <c r="Y25" s="10">
        <v>919.7</v>
      </c>
      <c r="Z25" s="10">
        <v>922.3</v>
      </c>
      <c r="AA25" s="10">
        <v>921.8</v>
      </c>
      <c r="AB25" s="10">
        <v>923.8</v>
      </c>
      <c r="AC25" s="10">
        <v>928</v>
      </c>
      <c r="AD25" s="62"/>
      <c r="AE25" s="62"/>
      <c r="AF25" s="62"/>
      <c r="AG25" s="62"/>
      <c r="AH25" s="62"/>
      <c r="AI25" s="62"/>
    </row>
    <row r="26" spans="2:35" x14ac:dyDescent="0.25">
      <c r="B26" s="7"/>
      <c r="C26" s="932"/>
      <c r="D26" s="932"/>
      <c r="E26" s="932"/>
      <c r="F26" s="932"/>
      <c r="G26" s="932"/>
      <c r="H26" s="912"/>
      <c r="I26" s="932"/>
      <c r="J26" s="8"/>
    </row>
    <row r="27" spans="2:35" ht="60" x14ac:dyDescent="0.25">
      <c r="B27" s="7" t="s">
        <v>33</v>
      </c>
      <c r="C27" s="933" t="str">
        <f>B15</f>
        <v>Nipisi North Truck Terminal (Rainbow P/L)</v>
      </c>
      <c r="D27" s="933" t="str">
        <f>B17</f>
        <v>Nipisi South Truck Terminal (Nipisi P/L)</v>
      </c>
      <c r="E27" s="934" t="str">
        <f>B16</f>
        <v>Utikuma North Truck Terminal (Nipisi P/L)</v>
      </c>
      <c r="F27" s="934" t="str">
        <f>B18</f>
        <v>Utikuma South Truck Terminal (Nipisi P/L)</v>
      </c>
      <c r="G27" s="933" t="str">
        <f>B19</f>
        <v>Mitsue Truck Terminal (Nipisi P/L)</v>
      </c>
      <c r="H27" s="933" t="s">
        <v>438</v>
      </c>
      <c r="I27" s="933" t="str">
        <f>B21</f>
        <v>Gibsons Edmonton (CHV Pricing)</v>
      </c>
      <c r="J27" s="5" t="str">
        <f>B22</f>
        <v>Flint Hills Hardisty (WCS Pricing)</v>
      </c>
      <c r="W27" s="609"/>
      <c r="X27" s="817" t="s">
        <v>421</v>
      </c>
      <c r="Y27" s="817"/>
      <c r="Z27" s="817"/>
      <c r="AA27" s="817"/>
      <c r="AB27" s="817"/>
      <c r="AC27" s="817"/>
      <c r="AD27" s="817"/>
      <c r="AE27" s="817"/>
      <c r="AF27" s="817"/>
      <c r="AG27" s="817"/>
      <c r="AH27" s="817"/>
      <c r="AI27" s="817"/>
    </row>
    <row r="28" spans="2:35" x14ac:dyDescent="0.25">
      <c r="B28" s="7"/>
      <c r="C28" s="933"/>
      <c r="D28" s="933"/>
      <c r="E28" s="934"/>
      <c r="F28" s="934"/>
      <c r="G28" s="933"/>
      <c r="H28" s="932"/>
      <c r="I28" s="933"/>
      <c r="J28" s="5"/>
      <c r="W28" s="618" t="s">
        <v>367</v>
      </c>
      <c r="X28" s="765">
        <v>45200</v>
      </c>
      <c r="Y28" s="765">
        <v>45231</v>
      </c>
      <c r="Z28" s="765">
        <v>45261</v>
      </c>
      <c r="AA28" s="765">
        <v>45292</v>
      </c>
      <c r="AB28" s="765">
        <v>45323</v>
      </c>
      <c r="AC28" s="765">
        <v>45352</v>
      </c>
      <c r="AD28" s="765">
        <v>45383</v>
      </c>
      <c r="AE28" s="765">
        <v>45413</v>
      </c>
      <c r="AF28" s="765">
        <v>45444</v>
      </c>
      <c r="AG28" s="765">
        <v>45474</v>
      </c>
      <c r="AH28" s="765">
        <v>45505</v>
      </c>
      <c r="AI28" s="765">
        <v>45536</v>
      </c>
    </row>
    <row r="29" spans="2:35" x14ac:dyDescent="0.25">
      <c r="B29" s="7" t="s">
        <v>22</v>
      </c>
      <c r="C29" s="769">
        <f>Inputs!$C$5</f>
        <v>21147</v>
      </c>
      <c r="D29" s="769">
        <f>Inputs!$C$5</f>
        <v>21147</v>
      </c>
      <c r="E29" s="770">
        <f>Inputs!$C$5</f>
        <v>21147</v>
      </c>
      <c r="F29" s="770">
        <f>Inputs!$C$5</f>
        <v>21147</v>
      </c>
      <c r="G29" s="769">
        <f>Inputs!$C$5</f>
        <v>21147</v>
      </c>
      <c r="H29" s="769">
        <f>Inputs!$C$5</f>
        <v>21147</v>
      </c>
      <c r="I29" s="769">
        <f>Inputs!$C$5</f>
        <v>21147</v>
      </c>
      <c r="J29" s="776">
        <f>Inputs!$C$5</f>
        <v>21147</v>
      </c>
      <c r="W29" t="s">
        <v>362</v>
      </c>
      <c r="X29" s="10">
        <v>925.6</v>
      </c>
      <c r="Y29" s="10">
        <v>923</v>
      </c>
      <c r="Z29" s="10">
        <v>921.8</v>
      </c>
      <c r="AA29" s="10">
        <v>921.2</v>
      </c>
      <c r="AB29" s="10">
        <v>921.2</v>
      </c>
      <c r="AC29" s="10">
        <v>918.1</v>
      </c>
      <c r="AD29" s="10">
        <v>921.5</v>
      </c>
      <c r="AE29" s="10">
        <v>924.4</v>
      </c>
      <c r="AF29" s="10">
        <v>931</v>
      </c>
      <c r="AG29" s="10">
        <v>934.8</v>
      </c>
      <c r="AH29" s="615">
        <v>930.9</v>
      </c>
      <c r="AI29" s="615">
        <v>927.8</v>
      </c>
    </row>
    <row r="30" spans="2:35" x14ac:dyDescent="0.25">
      <c r="B30" s="7" t="s">
        <v>430</v>
      </c>
      <c r="C30" s="911">
        <f>Inputs!C16</f>
        <v>965</v>
      </c>
      <c r="D30" s="911">
        <f>$C$30</f>
        <v>965</v>
      </c>
      <c r="E30" s="907">
        <f t="shared" ref="E30:J30" si="27">$C$30</f>
        <v>965</v>
      </c>
      <c r="F30" s="907">
        <f t="shared" si="27"/>
        <v>965</v>
      </c>
      <c r="G30" s="911">
        <f t="shared" si="27"/>
        <v>965</v>
      </c>
      <c r="H30" s="911">
        <f t="shared" si="27"/>
        <v>965</v>
      </c>
      <c r="I30" s="911">
        <f t="shared" si="27"/>
        <v>965</v>
      </c>
      <c r="J30" s="777">
        <f t="shared" si="27"/>
        <v>965</v>
      </c>
      <c r="W30" t="s">
        <v>363</v>
      </c>
      <c r="X30" s="10">
        <v>925.6</v>
      </c>
      <c r="Y30" s="10">
        <v>923</v>
      </c>
      <c r="Z30" s="10">
        <v>921.1</v>
      </c>
      <c r="AA30" s="10">
        <v>921.3</v>
      </c>
      <c r="AB30" s="10">
        <v>920.9</v>
      </c>
      <c r="AC30" s="10">
        <v>923</v>
      </c>
      <c r="AD30" s="10">
        <v>923.1</v>
      </c>
      <c r="AE30" s="10">
        <v>926.2</v>
      </c>
      <c r="AF30" s="10">
        <v>930.6</v>
      </c>
      <c r="AG30" s="10">
        <v>935</v>
      </c>
      <c r="AH30" s="615">
        <v>931</v>
      </c>
      <c r="AI30" s="615">
        <v>928</v>
      </c>
    </row>
    <row r="31" spans="2:35" x14ac:dyDescent="0.25">
      <c r="B31" s="7" t="s">
        <v>431</v>
      </c>
      <c r="C31" s="911">
        <f>Inputs!$C$18</f>
        <v>924.4</v>
      </c>
      <c r="D31" s="911">
        <f>Inputs!$C$18</f>
        <v>924.4</v>
      </c>
      <c r="E31" s="907">
        <f>Inputs!$C$18</f>
        <v>924.4</v>
      </c>
      <c r="F31" s="907">
        <f>Inputs!$C$18</f>
        <v>924.4</v>
      </c>
      <c r="G31" s="911">
        <f>Inputs!$C$18</f>
        <v>924.4</v>
      </c>
      <c r="H31" s="911">
        <f>Inputs!$C$18</f>
        <v>924.4</v>
      </c>
      <c r="I31" s="911">
        <f>Inputs!$C$18</f>
        <v>924.4</v>
      </c>
      <c r="J31" s="777">
        <f>Inputs!$C$18</f>
        <v>924.4</v>
      </c>
      <c r="W31" t="s">
        <v>364</v>
      </c>
      <c r="X31" s="615">
        <v>917.9</v>
      </c>
      <c r="Y31" s="10">
        <v>914.6</v>
      </c>
      <c r="Z31" s="10">
        <v>912.3</v>
      </c>
      <c r="AA31" s="10">
        <v>912.9</v>
      </c>
      <c r="AB31" s="10">
        <v>915.3</v>
      </c>
      <c r="AC31" s="10">
        <v>915.8</v>
      </c>
      <c r="AD31" s="10">
        <v>914.8</v>
      </c>
      <c r="AE31" s="10">
        <v>916.4</v>
      </c>
      <c r="AF31" s="10">
        <v>919.7</v>
      </c>
      <c r="AG31" s="10">
        <v>929.2</v>
      </c>
      <c r="AH31" s="615">
        <v>925.3</v>
      </c>
      <c r="AI31" s="615">
        <v>921.6</v>
      </c>
    </row>
    <row r="32" spans="2:35" x14ac:dyDescent="0.25">
      <c r="B32" s="7" t="s">
        <v>432</v>
      </c>
      <c r="C32" s="911">
        <v>4</v>
      </c>
      <c r="D32" s="911">
        <v>4</v>
      </c>
      <c r="E32" s="907">
        <v>4</v>
      </c>
      <c r="F32" s="907">
        <v>4</v>
      </c>
      <c r="G32" s="911">
        <v>4</v>
      </c>
      <c r="H32" s="911">
        <f>C32</f>
        <v>4</v>
      </c>
      <c r="I32" s="911">
        <v>4</v>
      </c>
      <c r="J32" s="777">
        <v>4</v>
      </c>
      <c r="W32" t="s">
        <v>365</v>
      </c>
      <c r="X32" s="615"/>
      <c r="Y32" s="615"/>
      <c r="Z32" s="615"/>
      <c r="AA32" s="615"/>
      <c r="AB32" s="10">
        <v>921</v>
      </c>
      <c r="AC32" s="10">
        <v>921.5</v>
      </c>
      <c r="AD32" s="10">
        <v>916.1</v>
      </c>
      <c r="AE32" s="10">
        <v>917.9</v>
      </c>
      <c r="AF32" s="10">
        <v>920.7</v>
      </c>
      <c r="AG32" s="10">
        <v>929.8</v>
      </c>
      <c r="AH32" s="615"/>
      <c r="AI32" s="615"/>
    </row>
    <row r="33" spans="2:35" x14ac:dyDescent="0.25">
      <c r="B33" s="7" t="s">
        <v>433</v>
      </c>
      <c r="C33" s="911">
        <f>Inputs!$C$6</f>
        <v>0.65</v>
      </c>
      <c r="D33" s="911">
        <f>Inputs!$C$6</f>
        <v>0.65</v>
      </c>
      <c r="E33" s="907">
        <f>Inputs!$C$6</f>
        <v>0.65</v>
      </c>
      <c r="F33" s="907">
        <f>Inputs!$C$6</f>
        <v>0.65</v>
      </c>
      <c r="G33" s="911">
        <f>Inputs!$C$6</f>
        <v>0.65</v>
      </c>
      <c r="H33" s="911">
        <f>Inputs!$C$6</f>
        <v>0.65</v>
      </c>
      <c r="I33" s="911">
        <f>Inputs!$C$6</f>
        <v>0.65</v>
      </c>
      <c r="J33" s="777">
        <f>Inputs!$C$6</f>
        <v>0.65</v>
      </c>
      <c r="W33" t="s">
        <v>366</v>
      </c>
      <c r="X33" s="615"/>
      <c r="Y33" s="615"/>
      <c r="Z33" s="615"/>
      <c r="AA33" s="615"/>
      <c r="AB33" s="615"/>
      <c r="AC33" s="615"/>
      <c r="AD33" s="10">
        <v>913.4</v>
      </c>
      <c r="AE33" s="10">
        <v>926.5</v>
      </c>
      <c r="AF33" s="10">
        <v>928.5</v>
      </c>
      <c r="AG33" s="10">
        <v>932.5</v>
      </c>
      <c r="AH33" s="615"/>
      <c r="AI33" s="615"/>
    </row>
    <row r="34" spans="2:35" x14ac:dyDescent="0.25">
      <c r="B34" s="7" t="s">
        <v>434</v>
      </c>
      <c r="C34" s="911">
        <f>Inputs!C14</f>
        <v>737</v>
      </c>
      <c r="D34" s="911">
        <f>Inputs!C7</f>
        <v>660</v>
      </c>
      <c r="E34" s="907">
        <f>Inputs!$C$7</f>
        <v>660</v>
      </c>
      <c r="F34" s="907">
        <f>Inputs!$C$7</f>
        <v>660</v>
      </c>
      <c r="G34" s="911">
        <f>Inputs!C7</f>
        <v>660</v>
      </c>
      <c r="H34" s="911">
        <f>C34</f>
        <v>737</v>
      </c>
      <c r="I34" s="911">
        <f>Inputs!C13</f>
        <v>730</v>
      </c>
      <c r="J34" s="777">
        <f>Inputs!C13</f>
        <v>730</v>
      </c>
    </row>
    <row r="35" spans="2:35" x14ac:dyDescent="0.25">
      <c r="B35" s="7"/>
      <c r="C35" s="932"/>
      <c r="D35" s="932"/>
      <c r="E35" s="929"/>
      <c r="F35" s="929"/>
      <c r="G35" s="932"/>
      <c r="H35" s="932"/>
      <c r="I35" s="932"/>
      <c r="J35" s="8"/>
    </row>
    <row r="36" spans="2:35" x14ac:dyDescent="0.25">
      <c r="B36" s="7" t="s">
        <v>2</v>
      </c>
      <c r="C36" s="912" t="s">
        <v>3</v>
      </c>
      <c r="D36" s="912" t="s">
        <v>356</v>
      </c>
      <c r="E36" s="908" t="s">
        <v>3</v>
      </c>
      <c r="F36" s="908" t="s">
        <v>3</v>
      </c>
      <c r="G36" s="912" t="s">
        <v>3</v>
      </c>
      <c r="H36" s="912" t="s">
        <v>3</v>
      </c>
      <c r="I36" s="912" t="s">
        <v>3</v>
      </c>
      <c r="J36" s="778" t="s">
        <v>4</v>
      </c>
    </row>
    <row r="37" spans="2:35" x14ac:dyDescent="0.25">
      <c r="B37" s="7" t="s">
        <v>5</v>
      </c>
      <c r="C37" s="916">
        <f>Inputs!$C$4</f>
        <v>45413</v>
      </c>
      <c r="D37" s="916">
        <f>Inputs!$C$4</f>
        <v>45413</v>
      </c>
      <c r="E37" s="935">
        <f>Inputs!$C$4</f>
        <v>45413</v>
      </c>
      <c r="F37" s="935">
        <f>Inputs!$C$4</f>
        <v>45413</v>
      </c>
      <c r="G37" s="916">
        <f>Inputs!$C$4</f>
        <v>45413</v>
      </c>
      <c r="H37" s="916">
        <f>Inputs!$C$4</f>
        <v>45413</v>
      </c>
      <c r="I37" s="916">
        <f>Inputs!$C$4</f>
        <v>45413</v>
      </c>
      <c r="J37" s="779">
        <f>Inputs!$C$4</f>
        <v>45413</v>
      </c>
      <c r="AE37" s="10"/>
      <c r="AF37" s="10"/>
      <c r="AG37" s="10"/>
      <c r="AH37" s="10"/>
      <c r="AI37" s="10"/>
    </row>
    <row r="38" spans="2:35" x14ac:dyDescent="0.25">
      <c r="B38" s="7" t="s">
        <v>34</v>
      </c>
      <c r="C38" s="21">
        <f>_xlfn.XLOOKUP(C$37, MonthlyData!$B:$B, MonthlyData!$D:$D)</f>
        <v>78.62</v>
      </c>
      <c r="D38" s="930">
        <f t="shared" ref="D38:J38" si="28">$C$38</f>
        <v>78.62</v>
      </c>
      <c r="E38" s="931">
        <f t="shared" si="28"/>
        <v>78.62</v>
      </c>
      <c r="F38" s="931">
        <f t="shared" si="28"/>
        <v>78.62</v>
      </c>
      <c r="G38" s="930">
        <f t="shared" si="28"/>
        <v>78.62</v>
      </c>
      <c r="H38" s="930">
        <f t="shared" si="28"/>
        <v>78.62</v>
      </c>
      <c r="I38" s="930">
        <f t="shared" si="28"/>
        <v>78.62</v>
      </c>
      <c r="J38" s="780">
        <f t="shared" si="28"/>
        <v>78.62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2:35" x14ac:dyDescent="0.25">
      <c r="B39" s="7" t="s">
        <v>35</v>
      </c>
      <c r="C39" s="930">
        <v>0</v>
      </c>
      <c r="D39" s="930">
        <v>0</v>
      </c>
      <c r="E39" s="931">
        <v>0</v>
      </c>
      <c r="F39" s="931">
        <v>0</v>
      </c>
      <c r="G39" s="930">
        <v>0</v>
      </c>
      <c r="H39" s="930">
        <v>0</v>
      </c>
      <c r="I39" s="930">
        <v>0</v>
      </c>
      <c r="J39" s="781">
        <f>_xlfn.XLOOKUP(C25, MonthlyData!$B:$B, MonthlyData!$AA:$AA)</f>
        <v>-13.07</v>
      </c>
    </row>
    <row r="40" spans="2:35" x14ac:dyDescent="0.25">
      <c r="B40" s="7" t="s">
        <v>36</v>
      </c>
      <c r="C40" s="21">
        <f>_xlfn.XLOOKUP(C$37, MonthlyData!$B:$B, MonthlyData!$BP:$BP)</f>
        <v>-12.82</v>
      </c>
      <c r="D40" s="20">
        <f>C40</f>
        <v>-12.82</v>
      </c>
      <c r="E40" s="771">
        <f>$C$40</f>
        <v>-12.82</v>
      </c>
      <c r="F40" s="771">
        <f>$C$40</f>
        <v>-12.82</v>
      </c>
      <c r="G40" s="20">
        <f>D40</f>
        <v>-12.82</v>
      </c>
      <c r="H40" s="930">
        <f>C40</f>
        <v>-12.82</v>
      </c>
      <c r="I40" s="20">
        <f>C40</f>
        <v>-12.82</v>
      </c>
      <c r="J40" s="781">
        <v>0</v>
      </c>
    </row>
    <row r="41" spans="2:35" x14ac:dyDescent="0.25">
      <c r="B41" s="7" t="s">
        <v>349</v>
      </c>
      <c r="C41" s="21">
        <v>0</v>
      </c>
      <c r="D41" s="21">
        <v>0.15</v>
      </c>
      <c r="E41" s="772">
        <v>0</v>
      </c>
      <c r="F41" s="772">
        <v>0</v>
      </c>
      <c r="G41" s="21">
        <v>0</v>
      </c>
      <c r="H41" s="21">
        <v>0</v>
      </c>
      <c r="I41" s="21">
        <v>0</v>
      </c>
      <c r="J41" s="796">
        <v>0.4</v>
      </c>
    </row>
    <row r="42" spans="2:35" x14ac:dyDescent="0.25">
      <c r="B42" s="7" t="s">
        <v>1</v>
      </c>
      <c r="C42" s="35">
        <f>_xlfn.XLOOKUP(C$37, MonthlyData!$B:$B, MonthlyData!$E:$E)</f>
        <v>1.3669500000000001</v>
      </c>
      <c r="D42" s="936">
        <f>$C$42</f>
        <v>1.3669500000000001</v>
      </c>
      <c r="E42" s="937">
        <f t="shared" ref="E42:J42" si="29">$C$42</f>
        <v>1.3669500000000001</v>
      </c>
      <c r="F42" s="937">
        <f t="shared" si="29"/>
        <v>1.3669500000000001</v>
      </c>
      <c r="G42" s="936">
        <f t="shared" si="29"/>
        <v>1.3669500000000001</v>
      </c>
      <c r="H42" s="936">
        <f t="shared" si="29"/>
        <v>1.3669500000000001</v>
      </c>
      <c r="I42" s="936">
        <f t="shared" si="29"/>
        <v>1.3669500000000001</v>
      </c>
      <c r="J42" s="782">
        <f t="shared" si="29"/>
        <v>1.3669500000000001</v>
      </c>
    </row>
    <row r="43" spans="2:35" x14ac:dyDescent="0.25">
      <c r="B43" s="7" t="s">
        <v>6</v>
      </c>
      <c r="C43" s="22">
        <f>(C38+C39+C40+C41)*6.2898105*C42</f>
        <v>565.73895526375509</v>
      </c>
      <c r="D43" s="22">
        <f t="shared" ref="D43" si="30">(D38+D39+D40+D41)*6.2898105*D42</f>
        <v>567.02863373320145</v>
      </c>
      <c r="E43" s="773">
        <f t="shared" ref="E43:J43" si="31">(E38+E39+E40+E41)*6.2898105*E42</f>
        <v>565.73895526375509</v>
      </c>
      <c r="F43" s="773">
        <f t="shared" si="31"/>
        <v>565.73895526375509</v>
      </c>
      <c r="G43" s="22">
        <f t="shared" si="31"/>
        <v>565.73895526375509</v>
      </c>
      <c r="H43" s="22">
        <f t="shared" si="31"/>
        <v>565.73895526375509</v>
      </c>
      <c r="I43" s="22">
        <f t="shared" si="31"/>
        <v>565.73895526375509</v>
      </c>
      <c r="J43" s="783">
        <f t="shared" si="31"/>
        <v>567.02863373320145</v>
      </c>
    </row>
    <row r="44" spans="2:35" x14ac:dyDescent="0.25">
      <c r="B44" s="7" t="s">
        <v>412</v>
      </c>
      <c r="C44" s="21">
        <f>'NipNorthTT Novacor Rainbow'!B47</f>
        <v>-5</v>
      </c>
      <c r="D44" s="21">
        <f>-D106</f>
        <v>-4.7</v>
      </c>
      <c r="E44" s="772">
        <f>-Inputs!C19</f>
        <v>-5.25</v>
      </c>
      <c r="F44" s="772">
        <f>-Inputs!$C$20</f>
        <v>-4.7</v>
      </c>
      <c r="G44" s="21">
        <f>-G106</f>
        <v>-4.75</v>
      </c>
      <c r="H44" s="775">
        <v>0</v>
      </c>
      <c r="I44" s="21">
        <f>-H106</f>
        <v>0</v>
      </c>
      <c r="J44" s="781">
        <f>-I106</f>
        <v>-5</v>
      </c>
    </row>
    <row r="45" spans="2:35" x14ac:dyDescent="0.25">
      <c r="B45" s="7" t="s">
        <v>467</v>
      </c>
      <c r="C45" s="930">
        <f>-(I15*'NipNorthTT Novacor Rainbow'!F8)/'NipNorthTT Novacor Rainbow'!F12</f>
        <v>-9.7174148386676826</v>
      </c>
      <c r="D45" s="930">
        <f>-(I17*'UtikuSouthTT DilFee Nipisi'!C101)/'UtikuSouthTT DilFee Nipisi'!C106</f>
        <v>-14.766369581716175</v>
      </c>
      <c r="E45" s="931">
        <f>-(I16*'UtikuNorthTT DilFee Nipisi'!C101)/'UtikuNorthTT DilFee Nipisi'!C106</f>
        <v>-11.60214752849128</v>
      </c>
      <c r="F45" s="931">
        <f>-(I18*'UtikuSouthTT DilFee Nipisi'!C101)/'UtikuSouthTT DilFee Nipisi'!C106</f>
        <v>-14.766369581716175</v>
      </c>
      <c r="G45" s="930">
        <f>-(I19*'KINGMitsueTT Dil Fee Nipisi'!C100)/'KINGMitsueTT Dil Fee Nipisi'!C105</f>
        <v>-21.094813688165964</v>
      </c>
      <c r="H45" s="930">
        <f>-(I20*'KingMH-Plains Novacor Rainbow'!B9)/'KingMH-Plains Novacor Rainbow'!F12</f>
        <v>-27.208761548269514</v>
      </c>
      <c r="I45" s="930">
        <f>-(I21*'Gibsons Novacor Edm'!B9)/'Gibsons Novacor Edm'!F12</f>
        <v>-52.864229855360627</v>
      </c>
      <c r="J45" s="780">
        <f>-(I22*'FlintHills Novacor Hardisty'!B9)/'FlintHills Novacor Hardisty'!F12</f>
        <v>-67.205190077815942</v>
      </c>
    </row>
    <row r="46" spans="2:35" x14ac:dyDescent="0.25">
      <c r="B46" s="7" t="s">
        <v>415</v>
      </c>
      <c r="C46" s="21">
        <f>'NipNorthTT Novacor Rainbow'!$B$63</f>
        <v>-128.12668632875719</v>
      </c>
      <c r="D46" s="21">
        <f>'UtikuSouthTT DilFee Nipisi'!$E$126</f>
        <v>-77.204616535792809</v>
      </c>
      <c r="E46" s="772">
        <f>'UtikuNorthTT DilFee Nipisi'!$E$126</f>
        <v>-78.388938721048561</v>
      </c>
      <c r="F46" s="772">
        <f>'UtikuSouthTT DilFee Nipisi'!$E$126</f>
        <v>-77.204616535792809</v>
      </c>
      <c r="G46" s="21">
        <f>'KINGMitsueTT Dil Fee Nipisi'!E125</f>
        <v>-76.779192625164058</v>
      </c>
      <c r="H46" s="21">
        <f>'KingMH-Plains Novacor Rainbow'!B63</f>
        <v>-127.94047252194673</v>
      </c>
      <c r="I46" s="21">
        <f>'Gibsons Novacor Edm'!B63</f>
        <v>-121.39400576560497</v>
      </c>
      <c r="J46" s="781">
        <f>'FlintHills Novacor Hardisty'!B63</f>
        <v>-120.23161472344795</v>
      </c>
    </row>
    <row r="47" spans="2:35" x14ac:dyDescent="0.25">
      <c r="B47" s="7" t="s">
        <v>358</v>
      </c>
      <c r="C47" s="930">
        <v>0</v>
      </c>
      <c r="D47" s="21">
        <f>'UtikuSouthTT DilFee Nipisi'!E136*0.9</f>
        <v>10.165685372478421</v>
      </c>
      <c r="E47" s="931">
        <f>'UtikuNorthTT DilFee Nipisi'!E136*0.9</f>
        <v>9.4628538764257666</v>
      </c>
      <c r="F47" s="931">
        <f>D47</f>
        <v>10.165685372478421</v>
      </c>
      <c r="G47" s="21">
        <f>'KINGMitsueTT Dil Fee Nipisi'!E135*'KINGMitsueTT Dil Fee Nipisi'!E136</f>
        <v>9.491769108581547</v>
      </c>
      <c r="H47" s="775">
        <v>0</v>
      </c>
      <c r="I47" s="20">
        <v>0</v>
      </c>
      <c r="J47" s="784">
        <v>0</v>
      </c>
    </row>
    <row r="48" spans="2:35" x14ac:dyDescent="0.25">
      <c r="B48" s="7" t="s">
        <v>7</v>
      </c>
      <c r="C48" s="20">
        <v>0</v>
      </c>
      <c r="D48" s="20">
        <v>0</v>
      </c>
      <c r="E48" s="771">
        <v>0</v>
      </c>
      <c r="F48" s="771">
        <v>0</v>
      </c>
      <c r="G48" s="20">
        <v>0</v>
      </c>
      <c r="H48" s="21">
        <v>0</v>
      </c>
      <c r="I48" s="20">
        <v>0</v>
      </c>
      <c r="J48" s="784">
        <v>0</v>
      </c>
    </row>
    <row r="49" spans="2:12" x14ac:dyDescent="0.25">
      <c r="B49" s="7" t="s">
        <v>8</v>
      </c>
      <c r="C49" s="20">
        <f>-(C117+C118)</f>
        <v>0</v>
      </c>
      <c r="D49" s="20">
        <f>-(D117+D118)</f>
        <v>-1.23</v>
      </c>
      <c r="E49" s="771">
        <f>-($E$117+$E$118)</f>
        <v>-1</v>
      </c>
      <c r="F49" s="771">
        <f>-($F$117+$F$118)</f>
        <v>-0.8</v>
      </c>
      <c r="G49" s="20">
        <f>-(G117+G118)</f>
        <v>-0.8</v>
      </c>
      <c r="H49" s="20">
        <f>'KingMH-Plains Novacor Rainbow'!B49</f>
        <v>-1.5784155556940094</v>
      </c>
      <c r="I49" s="20">
        <f>-(H117+H118)</f>
        <v>0</v>
      </c>
      <c r="J49" s="784">
        <f>-(I117+I118)</f>
        <v>0</v>
      </c>
    </row>
    <row r="50" spans="2:12" x14ac:dyDescent="0.25">
      <c r="B50" s="7" t="s">
        <v>457</v>
      </c>
      <c r="C50" s="930">
        <f>-C107</f>
        <v>-19.078415555694008</v>
      </c>
      <c r="D50" s="20">
        <f>-($D107+$D109+$D114)</f>
        <v>-16.759999999999998</v>
      </c>
      <c r="E50" s="774">
        <f>-($E$107+$E$108+$E$109+$E$110+$E$111+$E$112+$E$113+$E$114)</f>
        <v>-19.170000000000002</v>
      </c>
      <c r="F50" s="774">
        <f>-($F$107+$F$108+$F$109+$F$110+$F$111+$F$112+$F$113+$F$114)</f>
        <v>-18.5379</v>
      </c>
      <c r="G50" s="23">
        <f>-($G107+$G108+$G109+$G110+$F111+$G112+$G113+$G114)</f>
        <v>-17.57</v>
      </c>
      <c r="H50" s="930">
        <f>((P88*'KingMH-Plains Novacor Rainbow'!B9)/'KingMH-Plains Novacor Rainbow'!F12)+'KingMH-Plains Novacor Rainbow'!B48</f>
        <v>-19.774792193465284</v>
      </c>
      <c r="I50" s="20">
        <v>0</v>
      </c>
      <c r="J50" s="781">
        <v>0</v>
      </c>
    </row>
    <row r="51" spans="2:12" x14ac:dyDescent="0.25">
      <c r="B51" s="7" t="s">
        <v>458</v>
      </c>
      <c r="C51" s="20">
        <f>-(C110+C111+C112+C113)</f>
        <v>0</v>
      </c>
      <c r="D51" s="20">
        <f>-($D110+$D111+$D112+$D113)</f>
        <v>-1.96</v>
      </c>
      <c r="E51" s="787">
        <f>-($E$110+$E$111+$E$112+$E$113)</f>
        <v>0</v>
      </c>
      <c r="F51" s="787">
        <f>-($E$110+$E$111+$E$112+$E$113)</f>
        <v>0</v>
      </c>
      <c r="G51" s="775">
        <f>-(F110+F111+F112+F113)</f>
        <v>0</v>
      </c>
      <c r="H51" s="775">
        <f>-(G110+G111+G112+G113)</f>
        <v>0</v>
      </c>
      <c r="I51" s="775">
        <f>-(H110+H111+H112+H113)</f>
        <v>0</v>
      </c>
      <c r="J51" s="768">
        <f>-(I110+I111+I112+I113)</f>
        <v>0</v>
      </c>
    </row>
    <row r="52" spans="2:12" x14ac:dyDescent="0.25">
      <c r="B52" s="7" t="s">
        <v>10</v>
      </c>
      <c r="C52" s="20">
        <f>-(C115+C116)</f>
        <v>-0.11</v>
      </c>
      <c r="D52" s="20">
        <f>-(D115+D116)</f>
        <v>-0.11</v>
      </c>
      <c r="E52" s="771">
        <f>-($E$115+$E$116)</f>
        <v>-0.11</v>
      </c>
      <c r="F52" s="771">
        <f>-($E$115+$E$116)</f>
        <v>-0.11</v>
      </c>
      <c r="G52" s="20">
        <f>-(F115+F116)</f>
        <v>-0.11</v>
      </c>
      <c r="H52" s="20">
        <f>-(G115+G116)</f>
        <v>-0.11</v>
      </c>
      <c r="I52" s="20">
        <f>-(H115+H116)</f>
        <v>-0.11</v>
      </c>
      <c r="J52" s="784">
        <f>-(I115+I116)</f>
        <v>-0.11</v>
      </c>
    </row>
    <row r="53" spans="2:12" x14ac:dyDescent="0.25">
      <c r="B53" s="7" t="s">
        <v>437</v>
      </c>
      <c r="C53" s="20">
        <f>-C43*Inputs!$C$27</f>
        <v>-1.1314779105275101</v>
      </c>
      <c r="D53" s="21">
        <f>-D119</f>
        <v>-1.1370268146383926</v>
      </c>
      <c r="E53" s="772">
        <f>-$E$119</f>
        <v>-1.1370268146383926</v>
      </c>
      <c r="F53" s="772">
        <f>-$E$119</f>
        <v>-1.1370268146383926</v>
      </c>
      <c r="G53" s="21">
        <f>-F119</f>
        <v>-1.1370268146383926</v>
      </c>
      <c r="H53" s="20">
        <f>-H43*Inputs!$C$27</f>
        <v>-1.1314779105275101</v>
      </c>
      <c r="I53" s="21">
        <v>0</v>
      </c>
      <c r="J53" s="781">
        <v>0</v>
      </c>
    </row>
    <row r="54" spans="2:12" x14ac:dyDescent="0.25">
      <c r="B54" s="7" t="s">
        <v>459</v>
      </c>
      <c r="C54" s="20">
        <v>0</v>
      </c>
      <c r="D54" s="20">
        <f>-D120</f>
        <v>-0.1</v>
      </c>
      <c r="E54" s="771">
        <v>0</v>
      </c>
      <c r="F54" s="771">
        <v>0</v>
      </c>
      <c r="G54" s="20">
        <v>0</v>
      </c>
      <c r="H54" s="20">
        <v>0</v>
      </c>
      <c r="I54" s="20">
        <v>0</v>
      </c>
      <c r="J54" s="784">
        <v>0</v>
      </c>
    </row>
    <row r="55" spans="2:12" x14ac:dyDescent="0.25">
      <c r="B55" s="805" t="s">
        <v>499</v>
      </c>
      <c r="C55" s="930">
        <f t="shared" ref="C55:D55" si="32">SUM(C43:C54)</f>
        <v>402.57496063010876</v>
      </c>
      <c r="D55" s="930">
        <f t="shared" si="32"/>
        <v>459.22630617353246</v>
      </c>
      <c r="E55" s="931">
        <f t="shared" ref="E55:J55" si="33">SUM(E43:E54)</f>
        <v>458.54369607600256</v>
      </c>
      <c r="F55" s="931">
        <f t="shared" si="33"/>
        <v>458.64872770408613</v>
      </c>
      <c r="G55" s="930">
        <f t="shared" si="33"/>
        <v>452.98969124436826</v>
      </c>
      <c r="H55" s="930">
        <f t="shared" si="33"/>
        <v>387.99503553385205</v>
      </c>
      <c r="I55" s="930">
        <f t="shared" si="33"/>
        <v>391.37071964278954</v>
      </c>
      <c r="J55" s="780">
        <f t="shared" si="33"/>
        <v>374.48182893193757</v>
      </c>
    </row>
    <row r="56" spans="2:12" ht="15.75" thickBot="1" x14ac:dyDescent="0.3">
      <c r="B56" s="611" t="s">
        <v>500</v>
      </c>
      <c r="C56" s="24"/>
      <c r="D56" s="24"/>
      <c r="E56" s="785">
        <f>E55*'UtikuNorthTT DilFee Nipisi'!C106/'UtikuNorthTT DilFee Nipisi'!C101</f>
        <v>521.69452020322012</v>
      </c>
      <c r="F56" s="785">
        <f>F55*'UtikuSouthTT DilFee Nipisi'!C106/'UtikuSouthTT DilFee Nipisi'!C101</f>
        <v>521.81401682979708</v>
      </c>
      <c r="G56" s="24"/>
      <c r="H56" s="24"/>
      <c r="I56" s="24"/>
      <c r="J56" s="786"/>
    </row>
    <row r="58" spans="2:12" ht="46.5" thickBot="1" x14ac:dyDescent="0.35">
      <c r="B58" s="939" t="s">
        <v>502</v>
      </c>
      <c r="C58" s="938" t="s">
        <v>503</v>
      </c>
      <c r="D58" s="938"/>
      <c r="E58" s="938"/>
      <c r="F58" s="938"/>
      <c r="G58" s="938"/>
      <c r="H58" s="938"/>
      <c r="I58" s="938"/>
      <c r="J58" s="938"/>
      <c r="L58" s="609" t="s">
        <v>497</v>
      </c>
    </row>
    <row r="59" spans="2:12" x14ac:dyDescent="0.25">
      <c r="B59" s="925">
        <v>45292</v>
      </c>
      <c r="C59" s="920">
        <v>283.99026768324978</v>
      </c>
      <c r="D59" s="921">
        <v>335.29921469270437</v>
      </c>
      <c r="E59" s="928">
        <v>334.47860004506043</v>
      </c>
      <c r="F59" s="928">
        <v>334.7447229726983</v>
      </c>
      <c r="G59" s="921">
        <v>329.25393662906794</v>
      </c>
      <c r="H59" s="921">
        <v>269.88389591759397</v>
      </c>
      <c r="I59" s="921">
        <v>273.54945186180379</v>
      </c>
      <c r="J59" s="922">
        <v>265.89898587075038</v>
      </c>
      <c r="L59" s="3">
        <f>F59-E59</f>
        <v>0.26612292763786627</v>
      </c>
    </row>
    <row r="60" spans="2:12" x14ac:dyDescent="0.25">
      <c r="B60" s="926">
        <v>45323</v>
      </c>
      <c r="C60" s="923">
        <f t="shared" ref="C60:D60" si="34">SUM(C46:C59)</f>
        <v>538.11864851837981</v>
      </c>
      <c r="D60" s="775">
        <f t="shared" si="34"/>
        <v>706.18956288828406</v>
      </c>
      <c r="E60" s="787">
        <f t="shared" ref="E60:J60" si="35">SUM(E46:E59)</f>
        <v>1224.3737046650219</v>
      </c>
      <c r="F60" s="787">
        <f t="shared" si="35"/>
        <v>1227.5836095286288</v>
      </c>
      <c r="G60" s="775">
        <f t="shared" si="35"/>
        <v>695.33917754221534</v>
      </c>
      <c r="H60" s="775">
        <f t="shared" si="35"/>
        <v>507.34377326981246</v>
      </c>
      <c r="I60" s="775">
        <f t="shared" si="35"/>
        <v>543.41616573898841</v>
      </c>
      <c r="J60" s="768">
        <f t="shared" si="35"/>
        <v>520.03920007924</v>
      </c>
      <c r="L60" s="3">
        <f t="shared" ref="L60:L70" si="36">F60-E60</f>
        <v>3.2099048636068801</v>
      </c>
    </row>
    <row r="61" spans="2:12" x14ac:dyDescent="0.25">
      <c r="B61" s="926">
        <v>45352</v>
      </c>
      <c r="C61" s="923">
        <v>341.29000982019215</v>
      </c>
      <c r="D61" s="775">
        <v>400.11860106063403</v>
      </c>
      <c r="E61" s="787">
        <v>399.28801955884393</v>
      </c>
      <c r="F61" s="787">
        <v>399.5534764159778</v>
      </c>
      <c r="G61" s="775">
        <v>394.15100268674615</v>
      </c>
      <c r="H61" s="775">
        <v>327.64093986552689</v>
      </c>
      <c r="I61" s="775">
        <v>332.23778872023036</v>
      </c>
      <c r="J61" s="768">
        <v>330.86136782086658</v>
      </c>
      <c r="L61" s="3">
        <f t="shared" si="36"/>
        <v>0.26545685713387002</v>
      </c>
    </row>
    <row r="62" spans="2:12" x14ac:dyDescent="0.25">
      <c r="B62" s="926">
        <v>45383</v>
      </c>
      <c r="C62" s="923">
        <v>406.85790629258474</v>
      </c>
      <c r="D62" s="775">
        <v>471.27497308296245</v>
      </c>
      <c r="E62" s="787">
        <v>470.46973491033208</v>
      </c>
      <c r="F62" s="787">
        <v>470.69683796528687</v>
      </c>
      <c r="G62" s="775">
        <v>465.08106560587902</v>
      </c>
      <c r="H62" s="775">
        <v>392.70720433807548</v>
      </c>
      <c r="I62" s="775">
        <v>397.18394918114802</v>
      </c>
      <c r="J62" s="768">
        <v>378.37158716758444</v>
      </c>
      <c r="L62" s="3">
        <f t="shared" si="36"/>
        <v>0.22710305495479588</v>
      </c>
    </row>
    <row r="63" spans="2:12" x14ac:dyDescent="0.25">
      <c r="B63" s="926">
        <v>45413</v>
      </c>
      <c r="C63" s="923">
        <v>402.85783010774065</v>
      </c>
      <c r="D63" s="775">
        <v>459.22630617353246</v>
      </c>
      <c r="E63" s="787">
        <v>458.66007881653218</v>
      </c>
      <c r="F63" s="787">
        <v>458.64872770408613</v>
      </c>
      <c r="G63" s="775">
        <v>452.98969124436826</v>
      </c>
      <c r="H63" s="775">
        <v>388.27790501148394</v>
      </c>
      <c r="I63" s="775">
        <v>391.37071964278954</v>
      </c>
      <c r="J63" s="768">
        <v>374.48182893193757</v>
      </c>
      <c r="L63" s="3">
        <f t="shared" si="36"/>
        <v>-1.1351112446050138E-2</v>
      </c>
    </row>
    <row r="64" spans="2:12" x14ac:dyDescent="0.25">
      <c r="B64" s="926">
        <v>45444</v>
      </c>
      <c r="C64" s="923">
        <v>427.53828724184109</v>
      </c>
      <c r="D64" s="775">
        <v>479.7935416182043</v>
      </c>
      <c r="E64" s="787">
        <v>479.26708063352766</v>
      </c>
      <c r="F64" s="787">
        <v>479.21238739148873</v>
      </c>
      <c r="G64" s="775">
        <v>473.29203042734815</v>
      </c>
      <c r="H64" s="775">
        <v>411.97664057006864</v>
      </c>
      <c r="I64" s="775">
        <v>413.6146632036984</v>
      </c>
      <c r="J64" s="768">
        <v>394.49871434628665</v>
      </c>
      <c r="L64" s="3">
        <f t="shared" si="36"/>
        <v>-5.4693242038922563E-2</v>
      </c>
    </row>
    <row r="65" spans="2:16" x14ac:dyDescent="0.25">
      <c r="B65" s="926">
        <v>45474</v>
      </c>
      <c r="C65" s="923">
        <v>444.05978559269084</v>
      </c>
      <c r="D65" s="775">
        <v>493.54345571952916</v>
      </c>
      <c r="E65" s="787">
        <v>492.92785600108863</v>
      </c>
      <c r="F65" s="787">
        <v>492.96206562491983</v>
      </c>
      <c r="G65" s="775">
        <v>486.90239723937913</v>
      </c>
      <c r="H65" s="775">
        <v>427.92970025752135</v>
      </c>
      <c r="I65" s="775">
        <v>428.73227695898601</v>
      </c>
      <c r="J65" s="768">
        <v>412.3426725253164</v>
      </c>
      <c r="L65" s="3">
        <f t="shared" si="36"/>
        <v>3.4209623831202407E-2</v>
      </c>
    </row>
    <row r="66" spans="2:16" x14ac:dyDescent="0.25">
      <c r="B66" s="926">
        <v>45505</v>
      </c>
      <c r="C66" s="923">
        <v>385.65286592362429</v>
      </c>
      <c r="D66" s="775">
        <v>432.5403025762019</v>
      </c>
      <c r="E66" s="787">
        <v>431.89229405469484</v>
      </c>
      <c r="F66" s="787">
        <v>431.96475257064196</v>
      </c>
      <c r="G66" s="775">
        <v>426.12573832964358</v>
      </c>
      <c r="H66" s="775">
        <v>370.10614586069261</v>
      </c>
      <c r="I66" s="775">
        <v>371.63859831574626</v>
      </c>
      <c r="J66" s="768">
        <v>358.93326258495449</v>
      </c>
      <c r="L66" s="3">
        <f t="shared" si="36"/>
        <v>7.245851594711894E-2</v>
      </c>
    </row>
    <row r="67" spans="2:16" x14ac:dyDescent="0.25">
      <c r="B67" s="926">
        <v>45536</v>
      </c>
      <c r="C67" s="923">
        <v>334.0101702574525</v>
      </c>
      <c r="D67" s="775">
        <v>380.58713589026706</v>
      </c>
      <c r="E67" s="787">
        <v>380.12447709550668</v>
      </c>
      <c r="F67" s="787">
        <v>380.02095455744688</v>
      </c>
      <c r="G67" s="775">
        <v>374.29122652693013</v>
      </c>
      <c r="H67" s="775">
        <v>318.9253720721652</v>
      </c>
      <c r="I67" s="775">
        <v>320.90865646515465</v>
      </c>
      <c r="J67" s="768">
        <v>325.30427779514793</v>
      </c>
      <c r="L67" s="3">
        <f t="shared" si="36"/>
        <v>-0.10352253805979217</v>
      </c>
    </row>
    <row r="68" spans="2:16" x14ac:dyDescent="0.25">
      <c r="B68" s="926">
        <v>45566</v>
      </c>
      <c r="C68" s="923">
        <v>342.88322788131239</v>
      </c>
      <c r="D68" s="775">
        <v>396.59507883300654</v>
      </c>
      <c r="E68" s="787">
        <v>396.01095240743012</v>
      </c>
      <c r="F68" s="787">
        <v>396.00917894426891</v>
      </c>
      <c r="G68" s="775">
        <v>390.29126656107684</v>
      </c>
      <c r="H68" s="775">
        <v>328.12531785007803</v>
      </c>
      <c r="I68" s="775">
        <v>331.08446700329364</v>
      </c>
      <c r="J68" s="768">
        <v>329.44539736907723</v>
      </c>
      <c r="L68" s="3">
        <f t="shared" si="36"/>
        <v>-1.7734631612142948E-3</v>
      </c>
    </row>
    <row r="69" spans="2:16" x14ac:dyDescent="0.25">
      <c r="B69" s="926">
        <v>45597</v>
      </c>
      <c r="C69" s="923">
        <v>341.64722955533938</v>
      </c>
      <c r="D69" s="775">
        <v>396.67466811399669</v>
      </c>
      <c r="E69" s="787">
        <v>396.04720455635487</v>
      </c>
      <c r="F69" s="787">
        <v>396.06817224077673</v>
      </c>
      <c r="G69" s="775">
        <v>390.46223426739596</v>
      </c>
      <c r="H69" s="775">
        <v>327.27467449971761</v>
      </c>
      <c r="I69" s="775">
        <v>330.61300639197128</v>
      </c>
      <c r="J69" s="768">
        <v>323.6902331130625</v>
      </c>
      <c r="L69" s="3">
        <f t="shared" si="36"/>
        <v>2.0967684421862032E-2</v>
      </c>
    </row>
    <row r="70" spans="2:16" ht="15.75" thickBot="1" x14ac:dyDescent="0.3">
      <c r="B70" s="927">
        <v>45627</v>
      </c>
      <c r="C70" s="924">
        <v>346.95737112985819</v>
      </c>
      <c r="D70" s="917">
        <v>404.2688039681596</v>
      </c>
      <c r="E70" s="918">
        <v>403.56683930995632</v>
      </c>
      <c r="F70" s="918">
        <v>403.63733440234944</v>
      </c>
      <c r="G70" s="917">
        <v>398.06399258161582</v>
      </c>
      <c r="H70" s="917">
        <v>332.76232556156663</v>
      </c>
      <c r="I70" s="917">
        <v>336.2326213281533</v>
      </c>
      <c r="J70" s="919">
        <v>320.17100801113907</v>
      </c>
      <c r="L70" s="3">
        <f t="shared" si="36"/>
        <v>7.0495092393116465E-2</v>
      </c>
    </row>
    <row r="72" spans="2:16" x14ac:dyDescent="0.25">
      <c r="B72" s="11" t="s">
        <v>15</v>
      </c>
      <c r="C72" s="16">
        <v>45292</v>
      </c>
      <c r="D72" s="16">
        <v>45323</v>
      </c>
      <c r="E72" s="16">
        <v>44986</v>
      </c>
      <c r="F72" s="16">
        <v>45383</v>
      </c>
      <c r="G72" s="16">
        <v>45413</v>
      </c>
      <c r="H72" s="16">
        <v>45444</v>
      </c>
      <c r="I72" s="16">
        <v>45474</v>
      </c>
      <c r="J72" s="16">
        <v>45505</v>
      </c>
      <c r="K72" s="16">
        <v>45170</v>
      </c>
      <c r="L72" s="16">
        <v>45200</v>
      </c>
      <c r="M72" s="16">
        <v>45231</v>
      </c>
      <c r="N72" s="16">
        <v>45261</v>
      </c>
      <c r="O72" s="27">
        <v>2024</v>
      </c>
      <c r="P72" s="27">
        <v>2025</v>
      </c>
    </row>
    <row r="73" spans="2:16" x14ac:dyDescent="0.25">
      <c r="B73" t="s">
        <v>22</v>
      </c>
    </row>
    <row r="74" spans="2:16" x14ac:dyDescent="0.25">
      <c r="B74" t="s">
        <v>23</v>
      </c>
    </row>
    <row r="75" spans="2:16" x14ac:dyDescent="0.25">
      <c r="B75" t="s">
        <v>24</v>
      </c>
    </row>
    <row r="76" spans="2:16" x14ac:dyDescent="0.25">
      <c r="B76" t="s">
        <v>25</v>
      </c>
    </row>
    <row r="77" spans="2:16" x14ac:dyDescent="0.25">
      <c r="B77" t="s">
        <v>0</v>
      </c>
    </row>
    <row r="79" spans="2:16" x14ac:dyDescent="0.25">
      <c r="B79" t="s">
        <v>26</v>
      </c>
    </row>
    <row r="81" spans="2:18" x14ac:dyDescent="0.25">
      <c r="B81" t="s">
        <v>16</v>
      </c>
      <c r="C81" s="9">
        <v>-2.91</v>
      </c>
      <c r="D81" s="9">
        <v>-2.91</v>
      </c>
      <c r="E81" s="9">
        <v>-2.91</v>
      </c>
      <c r="F81" s="9">
        <v>-2.91</v>
      </c>
      <c r="G81" s="9">
        <v>-2.91</v>
      </c>
      <c r="H81" s="9">
        <v>-2.91</v>
      </c>
      <c r="I81" s="9">
        <v>-2.91</v>
      </c>
      <c r="J81" s="9">
        <v>-2.91</v>
      </c>
      <c r="K81" s="9">
        <v>-2.91</v>
      </c>
      <c r="L81" s="9">
        <v>-2.91</v>
      </c>
      <c r="M81" s="9">
        <v>-2.91</v>
      </c>
      <c r="N81" s="9">
        <v>-2.91</v>
      </c>
      <c r="O81" s="3">
        <f t="shared" ref="O81:P82" si="37">N81*1.02</f>
        <v>-2.9682000000000004</v>
      </c>
      <c r="P81" s="3">
        <f t="shared" si="37"/>
        <v>-3.0275640000000004</v>
      </c>
      <c r="Q81" s="3"/>
    </row>
    <row r="82" spans="2:18" x14ac:dyDescent="0.25">
      <c r="B82" t="s">
        <v>17</v>
      </c>
      <c r="C82" s="9">
        <v>-0.43</v>
      </c>
      <c r="D82" s="9">
        <v>-0.43</v>
      </c>
      <c r="E82" s="9">
        <v>-0.43</v>
      </c>
      <c r="F82" s="9">
        <v>-0.43</v>
      </c>
      <c r="G82" s="9">
        <v>-0.43</v>
      </c>
      <c r="H82" s="9">
        <v>-0.43</v>
      </c>
      <c r="I82" s="9">
        <v>-0.43</v>
      </c>
      <c r="J82" s="9">
        <v>-0.43</v>
      </c>
      <c r="K82" s="9">
        <v>-0.43</v>
      </c>
      <c r="L82" s="9">
        <v>-0.43</v>
      </c>
      <c r="M82" s="9">
        <v>-0.43</v>
      </c>
      <c r="N82" s="9">
        <v>-0.43</v>
      </c>
      <c r="O82" s="3">
        <f t="shared" si="37"/>
        <v>-0.43859999999999999</v>
      </c>
      <c r="P82" s="3">
        <f t="shared" si="37"/>
        <v>-0.44737199999999999</v>
      </c>
      <c r="Q82" s="3"/>
    </row>
    <row r="84" spans="2:18" x14ac:dyDescent="0.25">
      <c r="B84" t="s">
        <v>18</v>
      </c>
      <c r="C84" s="9">
        <v>-15.74</v>
      </c>
      <c r="D84" s="9">
        <v>-15.74</v>
      </c>
      <c r="E84" s="9">
        <v>-15.74</v>
      </c>
      <c r="F84" s="9">
        <v>-15.74</v>
      </c>
      <c r="G84" s="9">
        <v>-15.74</v>
      </c>
      <c r="H84" s="9">
        <v>-15.74</v>
      </c>
      <c r="I84" s="9">
        <v>-15.74</v>
      </c>
      <c r="J84" s="9">
        <v>-15.74</v>
      </c>
      <c r="K84" s="9">
        <v>-15.74</v>
      </c>
      <c r="L84" s="9">
        <v>-15.74</v>
      </c>
      <c r="M84" s="9">
        <v>-15.74</v>
      </c>
      <c r="N84" s="9">
        <v>-15.74</v>
      </c>
      <c r="O84" s="3">
        <f>N84*1.025</f>
        <v>-16.133499999999998</v>
      </c>
      <c r="P84" s="3">
        <f>O84*1.025</f>
        <v>-16.536837499999997</v>
      </c>
      <c r="Q84" s="3"/>
    </row>
    <row r="85" spans="2:18" x14ac:dyDescent="0.25">
      <c r="B85" t="s">
        <v>21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 spans="2:18" x14ac:dyDescent="0.25">
      <c r="B86" t="s">
        <v>19</v>
      </c>
      <c r="C86" s="9">
        <v>5.16</v>
      </c>
      <c r="D86" s="9">
        <v>5.16</v>
      </c>
      <c r="E86" s="9">
        <v>5.16</v>
      </c>
      <c r="F86" s="9">
        <v>5.16</v>
      </c>
      <c r="G86" s="9">
        <v>5.16</v>
      </c>
      <c r="H86" s="9">
        <v>5.16</v>
      </c>
      <c r="I86" s="9">
        <v>5.16</v>
      </c>
      <c r="J86" s="9">
        <v>5.16</v>
      </c>
      <c r="K86" s="9">
        <v>5.16</v>
      </c>
      <c r="L86" s="9">
        <v>5.16</v>
      </c>
      <c r="M86" s="9">
        <v>5.16</v>
      </c>
      <c r="N86" s="9">
        <v>5.16</v>
      </c>
    </row>
    <row r="88" spans="2:18" x14ac:dyDescent="0.25">
      <c r="B88" t="s">
        <v>42</v>
      </c>
      <c r="C88" s="13">
        <v>-9.35</v>
      </c>
      <c r="D88" s="13">
        <v>-9.35</v>
      </c>
      <c r="E88" s="13">
        <v>-9.35</v>
      </c>
      <c r="F88" s="13">
        <v>-9.35</v>
      </c>
      <c r="G88" s="13">
        <v>-9.35</v>
      </c>
      <c r="H88" s="13">
        <v>-9.35</v>
      </c>
      <c r="I88" s="13">
        <v>-9.35</v>
      </c>
      <c r="J88" s="13">
        <v>-9.35</v>
      </c>
      <c r="K88" s="13">
        <v>-9.35</v>
      </c>
      <c r="L88" s="13">
        <v>-9.35</v>
      </c>
      <c r="M88" s="13">
        <v>-9.35</v>
      </c>
      <c r="N88" s="13">
        <v>-9.35</v>
      </c>
      <c r="O88" s="3">
        <f>N88*1.025</f>
        <v>-9.5837499999999984</v>
      </c>
      <c r="P88" s="3">
        <f>O88*1.025</f>
        <v>-9.8233437499999976</v>
      </c>
      <c r="Q88" s="3"/>
      <c r="R88" t="s">
        <v>31</v>
      </c>
    </row>
    <row r="89" spans="2:18" x14ac:dyDescent="0.25">
      <c r="B89" t="s">
        <v>43</v>
      </c>
      <c r="C89" s="9">
        <v>-21.58</v>
      </c>
      <c r="D89" s="9">
        <v>-21.58</v>
      </c>
      <c r="E89" s="9">
        <v>-21.58</v>
      </c>
      <c r="F89" s="9">
        <v>-21.58</v>
      </c>
      <c r="G89" s="9">
        <v>-21.58</v>
      </c>
      <c r="H89" s="9">
        <v>-21.58</v>
      </c>
      <c r="I89" s="9">
        <v>-21.58</v>
      </c>
      <c r="J89" s="9">
        <v>-21.58</v>
      </c>
      <c r="K89" s="9">
        <v>-21.58</v>
      </c>
      <c r="L89" s="9">
        <v>-21.58</v>
      </c>
      <c r="M89" s="9">
        <v>-21.58</v>
      </c>
      <c r="N89" s="9">
        <v>-21.58</v>
      </c>
      <c r="R89" t="s">
        <v>37</v>
      </c>
    </row>
    <row r="90" spans="2:18" x14ac:dyDescent="0.25">
      <c r="B90" t="s">
        <v>44</v>
      </c>
      <c r="C90" s="13">
        <v>-0.9</v>
      </c>
      <c r="D90" s="13">
        <v>-0.97</v>
      </c>
      <c r="E90" s="13">
        <v>-0.9</v>
      </c>
      <c r="F90" s="13">
        <v>-1.17</v>
      </c>
      <c r="G90" s="13">
        <v>-1.1200000000000001</v>
      </c>
      <c r="H90" s="13">
        <v>-1.1499999999999999</v>
      </c>
      <c r="I90" s="13">
        <v>-1.1599999999999999</v>
      </c>
      <c r="J90" s="13">
        <v>-1.05</v>
      </c>
      <c r="K90" s="13">
        <v>-1.05</v>
      </c>
      <c r="L90" s="13">
        <v>-1.1499999999999999</v>
      </c>
      <c r="M90" s="13">
        <v>-1.1499999999999999</v>
      </c>
      <c r="N90" s="13">
        <v>-0.76</v>
      </c>
      <c r="O90" s="9">
        <f>AVERAGE(C90:N90)</f>
        <v>-1.0441666666666669</v>
      </c>
      <c r="P90" s="9">
        <f>AVERAGE(D90:O90)</f>
        <v>-1.0561805555555557</v>
      </c>
      <c r="Q90" s="9"/>
    </row>
    <row r="92" spans="2:18" x14ac:dyDescent="0.25">
      <c r="B92" t="s">
        <v>32</v>
      </c>
      <c r="C92" s="13">
        <v>-11.25</v>
      </c>
      <c r="D92" s="13">
        <v>-11.25</v>
      </c>
      <c r="E92" s="13">
        <v>-11.25</v>
      </c>
      <c r="F92" s="13">
        <v>-11.25</v>
      </c>
      <c r="G92" s="13">
        <v>-11.25</v>
      </c>
      <c r="H92" s="13">
        <v>-11.25</v>
      </c>
      <c r="I92" s="13">
        <v>-11.25</v>
      </c>
      <c r="J92" s="13">
        <v>-11.25</v>
      </c>
      <c r="K92" s="13">
        <v>-11.25</v>
      </c>
      <c r="L92" s="13">
        <v>-11.25</v>
      </c>
      <c r="M92" s="13">
        <v>-11.25</v>
      </c>
      <c r="N92" s="13">
        <v>-11.25</v>
      </c>
      <c r="O92" s="3">
        <f>N92*1.025</f>
        <v>-11.531249999999998</v>
      </c>
      <c r="P92" s="3">
        <f>O92*1.025</f>
        <v>-11.819531249999997</v>
      </c>
      <c r="Q92" s="3"/>
      <c r="R92" t="s">
        <v>30</v>
      </c>
    </row>
    <row r="93" spans="2:18" x14ac:dyDescent="0.25">
      <c r="B93" t="s">
        <v>20</v>
      </c>
      <c r="C93" s="13">
        <v>-0.67</v>
      </c>
      <c r="D93" s="13">
        <v>-0.73</v>
      </c>
      <c r="E93" s="13">
        <v>-0.67</v>
      </c>
      <c r="F93" s="13">
        <v>-0.88</v>
      </c>
      <c r="G93" s="13">
        <v>-0.84</v>
      </c>
      <c r="H93" s="13">
        <v>-0.86</v>
      </c>
      <c r="I93" s="13">
        <v>-0.87</v>
      </c>
      <c r="J93" s="13">
        <v>-0.78</v>
      </c>
      <c r="K93" s="13">
        <v>-0.78</v>
      </c>
      <c r="L93" s="13">
        <v>-0.86</v>
      </c>
      <c r="M93" s="13">
        <v>-0.86</v>
      </c>
      <c r="N93" s="13">
        <v>-0.56999999999999995</v>
      </c>
      <c r="O93" s="9">
        <f>AVERAGE(C93:N93)</f>
        <v>-0.78083333333333338</v>
      </c>
      <c r="P93" s="9"/>
      <c r="Q93" s="9"/>
    </row>
    <row r="95" spans="2:18" x14ac:dyDescent="0.25">
      <c r="B95" t="s">
        <v>28</v>
      </c>
      <c r="C95" s="13">
        <v>6.7</v>
      </c>
      <c r="D95" s="13">
        <v>6.68</v>
      </c>
      <c r="E95" s="13">
        <v>8.48</v>
      </c>
      <c r="F95" s="13">
        <v>8.36</v>
      </c>
      <c r="G95" s="13">
        <v>7.12</v>
      </c>
      <c r="H95" s="13">
        <v>4.7</v>
      </c>
      <c r="I95" s="13">
        <v>3.71</v>
      </c>
      <c r="J95" s="13">
        <v>2.75</v>
      </c>
      <c r="K95" s="13">
        <v>2.75</v>
      </c>
      <c r="L95" s="13">
        <v>2.85</v>
      </c>
      <c r="M95" s="13">
        <v>2.85</v>
      </c>
      <c r="N95" s="13">
        <v>7.14</v>
      </c>
      <c r="O95" s="9">
        <f>AVERAGE(C95:N95)</f>
        <v>5.3408333333333333</v>
      </c>
      <c r="P95" s="9"/>
      <c r="Q95" s="9"/>
      <c r="R95" t="s">
        <v>38</v>
      </c>
    </row>
    <row r="96" spans="2:18" x14ac:dyDescent="0.25">
      <c r="B96" t="s">
        <v>40</v>
      </c>
      <c r="C96" s="13">
        <f>C95/0.75</f>
        <v>8.9333333333333336</v>
      </c>
      <c r="D96" s="13">
        <f t="shared" ref="D96:N96" si="38">D95/0.75</f>
        <v>8.9066666666666663</v>
      </c>
      <c r="E96" s="13">
        <f t="shared" si="38"/>
        <v>11.306666666666667</v>
      </c>
      <c r="F96" s="13">
        <f t="shared" si="38"/>
        <v>11.146666666666667</v>
      </c>
      <c r="G96" s="13">
        <f t="shared" si="38"/>
        <v>9.4933333333333341</v>
      </c>
      <c r="H96" s="13">
        <f t="shared" si="38"/>
        <v>6.2666666666666666</v>
      </c>
      <c r="I96" s="13">
        <f t="shared" si="38"/>
        <v>4.9466666666666663</v>
      </c>
      <c r="J96" s="13">
        <f t="shared" si="38"/>
        <v>3.6666666666666665</v>
      </c>
      <c r="K96" s="13">
        <f t="shared" si="38"/>
        <v>3.6666666666666665</v>
      </c>
      <c r="L96" s="13">
        <f t="shared" si="38"/>
        <v>3.8000000000000003</v>
      </c>
      <c r="M96" s="13">
        <f t="shared" si="38"/>
        <v>3.8000000000000003</v>
      </c>
      <c r="N96" s="13">
        <f t="shared" si="38"/>
        <v>9.52</v>
      </c>
      <c r="O96" s="9">
        <f>AVERAGE(C96:N96)</f>
        <v>7.1211111111111114</v>
      </c>
      <c r="P96" s="9"/>
      <c r="Q96" s="9"/>
    </row>
    <row r="98" spans="2:43" x14ac:dyDescent="0.25">
      <c r="B98" t="s">
        <v>29</v>
      </c>
      <c r="C98" s="14">
        <f>C88+C90+C92+C93+C95</f>
        <v>-15.470000000000002</v>
      </c>
      <c r="D98" s="14">
        <f>D88+D90+D92+D93+D95</f>
        <v>-15.620000000000001</v>
      </c>
      <c r="E98" s="14">
        <f t="shared" ref="E98:K98" si="39">E88+E90+E92+E93+E95</f>
        <v>-13.690000000000001</v>
      </c>
      <c r="F98" s="14">
        <f t="shared" si="39"/>
        <v>-14.29</v>
      </c>
      <c r="G98" s="14">
        <f t="shared" si="39"/>
        <v>-15.439999999999998</v>
      </c>
      <c r="H98" s="14">
        <f t="shared" si="39"/>
        <v>-17.91</v>
      </c>
      <c r="I98" s="14">
        <f t="shared" si="39"/>
        <v>-18.919999999999998</v>
      </c>
      <c r="J98" s="14">
        <f t="shared" si="39"/>
        <v>-19.68</v>
      </c>
      <c r="K98" s="14">
        <f t="shared" si="39"/>
        <v>-19.68</v>
      </c>
      <c r="L98" s="14">
        <f t="shared" ref="L98:N98" si="40">L88+L90+L92+L93+L95</f>
        <v>-19.759999999999998</v>
      </c>
      <c r="M98" s="14">
        <f t="shared" si="40"/>
        <v>-19.759999999999998</v>
      </c>
      <c r="N98" s="14">
        <f t="shared" si="40"/>
        <v>-14.79</v>
      </c>
      <c r="O98" s="9">
        <f>AVERAGE(C98:N98)</f>
        <v>-17.084166666666665</v>
      </c>
      <c r="P98" s="9"/>
      <c r="Q98" s="9"/>
      <c r="R98" t="s">
        <v>39</v>
      </c>
      <c r="W98" s="609"/>
      <c r="X98" s="817" t="s">
        <v>422</v>
      </c>
      <c r="Y98" s="817"/>
      <c r="Z98" s="817"/>
      <c r="AA98" s="817"/>
      <c r="AB98" s="817"/>
      <c r="AC98" s="817"/>
      <c r="AD98" s="817"/>
      <c r="AE98" s="817"/>
      <c r="AF98" s="817"/>
      <c r="AG98" s="817"/>
      <c r="AH98" s="817"/>
      <c r="AI98" s="817"/>
      <c r="AJ98" s="817"/>
      <c r="AK98" s="817"/>
      <c r="AL98" s="817"/>
      <c r="AM98" s="817"/>
      <c r="AN98" s="817"/>
      <c r="AO98" s="817"/>
      <c r="AP98" s="817"/>
      <c r="AQ98" s="817"/>
    </row>
    <row r="99" spans="2:43" x14ac:dyDescent="0.25">
      <c r="W99" s="618" t="s">
        <v>367</v>
      </c>
      <c r="X99" s="765">
        <v>45200</v>
      </c>
      <c r="Y99" s="765">
        <v>45231</v>
      </c>
      <c r="Z99" s="765">
        <v>45261</v>
      </c>
      <c r="AA99" s="765">
        <v>45292</v>
      </c>
      <c r="AB99" s="765">
        <v>45323</v>
      </c>
      <c r="AC99" s="765">
        <v>45352</v>
      </c>
      <c r="AD99" s="765">
        <v>45383</v>
      </c>
      <c r="AE99" s="765">
        <v>45413</v>
      </c>
      <c r="AF99" s="765">
        <v>45444</v>
      </c>
      <c r="AG99" s="765">
        <v>45474</v>
      </c>
      <c r="AH99" s="765">
        <v>45505</v>
      </c>
      <c r="AI99" s="765">
        <v>45536</v>
      </c>
      <c r="AJ99" s="765">
        <v>45566</v>
      </c>
      <c r="AK99" s="765">
        <v>45597</v>
      </c>
      <c r="AL99" s="765">
        <v>45627</v>
      </c>
      <c r="AM99" s="765">
        <v>45658</v>
      </c>
      <c r="AN99" s="765">
        <v>45689</v>
      </c>
      <c r="AO99" s="765">
        <v>45717</v>
      </c>
      <c r="AP99" s="765">
        <v>45748</v>
      </c>
      <c r="AQ99" s="765">
        <v>45778</v>
      </c>
    </row>
    <row r="100" spans="2:43" x14ac:dyDescent="0.25">
      <c r="B100" t="s">
        <v>27</v>
      </c>
      <c r="C100" s="1">
        <v>925.2</v>
      </c>
      <c r="D100" s="1">
        <v>925.6</v>
      </c>
      <c r="E100" s="1">
        <v>936.4</v>
      </c>
      <c r="F100" s="1">
        <v>925.9</v>
      </c>
      <c r="G100" s="1">
        <v>926.1</v>
      </c>
      <c r="H100" s="1">
        <v>926.1</v>
      </c>
      <c r="I100" s="10">
        <v>926</v>
      </c>
      <c r="J100" s="1">
        <v>925.4</v>
      </c>
      <c r="K100" s="1">
        <v>927.6</v>
      </c>
      <c r="L100" s="1">
        <v>926.4</v>
      </c>
      <c r="M100" s="1">
        <v>926.2</v>
      </c>
      <c r="N100" s="1">
        <v>926.1</v>
      </c>
      <c r="O100" s="15">
        <f>AVERAGE(C100:N100)</f>
        <v>926.91666666666686</v>
      </c>
      <c r="P100" s="15"/>
      <c r="Q100" s="15"/>
      <c r="W100" t="s">
        <v>362</v>
      </c>
      <c r="X100" s="10">
        <v>924.7</v>
      </c>
      <c r="Y100" s="10">
        <v>922.7</v>
      </c>
      <c r="Z100" s="10">
        <v>921.6</v>
      </c>
      <c r="AA100" s="10">
        <v>920.6</v>
      </c>
      <c r="AB100" s="10">
        <v>921.7</v>
      </c>
      <c r="AC100" s="10">
        <v>918.4</v>
      </c>
      <c r="AD100" s="10">
        <v>921.6</v>
      </c>
      <c r="AE100" s="10">
        <v>924.2</v>
      </c>
      <c r="AF100" s="10">
        <v>930.1</v>
      </c>
      <c r="AG100" s="10">
        <v>936.4</v>
      </c>
      <c r="AH100" s="10">
        <v>929.4</v>
      </c>
      <c r="AI100" s="10">
        <v>928.7</v>
      </c>
      <c r="AJ100" s="10">
        <v>929.6</v>
      </c>
      <c r="AK100" s="10">
        <v>924.2</v>
      </c>
      <c r="AL100" s="10">
        <v>921.8</v>
      </c>
      <c r="AM100" s="10">
        <v>921.2</v>
      </c>
      <c r="AN100" s="10">
        <v>920.2</v>
      </c>
      <c r="AO100" s="10">
        <v>920.3</v>
      </c>
      <c r="AP100" s="10">
        <v>921.4</v>
      </c>
      <c r="AQ100" s="10">
        <v>924.3</v>
      </c>
    </row>
    <row r="101" spans="2:43" x14ac:dyDescent="0.25">
      <c r="W101" t="s">
        <v>363</v>
      </c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 spans="2:43" x14ac:dyDescent="0.25">
      <c r="W102" t="s">
        <v>364</v>
      </c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 spans="2:43" x14ac:dyDescent="0.25">
      <c r="W103" t="s">
        <v>365</v>
      </c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 spans="2:43" ht="62.25" x14ac:dyDescent="0.4">
      <c r="B104" s="824" t="s">
        <v>472</v>
      </c>
      <c r="C104" s="26" t="str">
        <f>C27</f>
        <v>Nipisi North Truck Terminal (Rainbow P/L)</v>
      </c>
      <c r="D104" s="26" t="str">
        <f t="shared" ref="D104:J104" si="41">D27</f>
        <v>Nipisi South Truck Terminal (Nipisi P/L)</v>
      </c>
      <c r="E104" s="797" t="str">
        <f t="shared" si="41"/>
        <v>Utikuma North Truck Terminal (Nipisi P/L)</v>
      </c>
      <c r="F104" s="797" t="str">
        <f t="shared" si="41"/>
        <v>Utikuma South Truck Terminal (Nipisi P/L)</v>
      </c>
      <c r="G104" s="26" t="str">
        <f t="shared" si="41"/>
        <v>Mitsue Truck Terminal (Nipisi P/L)</v>
      </c>
      <c r="H104" s="26" t="str">
        <f t="shared" si="41"/>
        <v>Marten Hills P/L (Rainbow P/L)</v>
      </c>
      <c r="I104" s="26" t="str">
        <f t="shared" si="41"/>
        <v>Gibsons Edmonton (CHV Pricing)</v>
      </c>
      <c r="J104" s="26" t="str">
        <f t="shared" si="41"/>
        <v>Flint Hills Hardisty (WCS Pricing)</v>
      </c>
      <c r="W104" t="s">
        <v>366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2:43" x14ac:dyDescent="0.25">
      <c r="B105" t="s">
        <v>343</v>
      </c>
      <c r="C105" s="1" t="s">
        <v>111</v>
      </c>
      <c r="D105" s="1" t="s">
        <v>111</v>
      </c>
      <c r="E105" s="1" t="s">
        <v>111</v>
      </c>
      <c r="F105" s="1" t="s">
        <v>111</v>
      </c>
      <c r="G105" s="1" t="s">
        <v>111</v>
      </c>
      <c r="H105" s="1" t="s">
        <v>111</v>
      </c>
      <c r="I105" s="1" t="s">
        <v>111</v>
      </c>
      <c r="J105" s="1" t="s">
        <v>111</v>
      </c>
    </row>
    <row r="106" spans="2:43" x14ac:dyDescent="0.25">
      <c r="B106" t="s">
        <v>412</v>
      </c>
      <c r="C106" s="34">
        <f>-'NipNorthTT Novacor Rainbow'!B47</f>
        <v>5</v>
      </c>
      <c r="D106" s="767">
        <v>4.7</v>
      </c>
      <c r="E106" s="788">
        <f>Inputs!$C$19</f>
        <v>5.25</v>
      </c>
      <c r="F106" s="788">
        <f>Inputs!$C$20</f>
        <v>4.7</v>
      </c>
      <c r="G106" s="767">
        <v>4.75</v>
      </c>
      <c r="H106" s="34">
        <f>'KingMH-Plains Novacor Rainbow'!B47</f>
        <v>0</v>
      </c>
      <c r="I106" s="767">
        <v>5</v>
      </c>
      <c r="J106" s="767">
        <v>2.5</v>
      </c>
    </row>
    <row r="107" spans="2:43" x14ac:dyDescent="0.25">
      <c r="B107" t="s">
        <v>471</v>
      </c>
      <c r="C107" s="34">
        <f>-('NipNorthTT Novacor Rainbow'!B48+'NipNorthTT Novacor Rainbow'!B49)</f>
        <v>19.078415555694008</v>
      </c>
      <c r="D107" s="352">
        <v>14.59</v>
      </c>
      <c r="E107" s="767">
        <v>18</v>
      </c>
      <c r="F107" s="767">
        <v>17.5</v>
      </c>
      <c r="G107" s="352">
        <v>16.600000000000001</v>
      </c>
      <c r="H107" s="352">
        <f>-('KingMH-Plains Novacor Rainbow'!B48+'KingMH-Plains Novacor Rainbow'!B49)</f>
        <v>13.39841555569401</v>
      </c>
      <c r="I107" s="9">
        <v>0</v>
      </c>
      <c r="J107" s="9">
        <v>0</v>
      </c>
    </row>
    <row r="108" spans="2:43" x14ac:dyDescent="0.25">
      <c r="B108" t="s">
        <v>122</v>
      </c>
      <c r="C108" s="9">
        <v>0</v>
      </c>
      <c r="D108" s="352">
        <v>0</v>
      </c>
      <c r="E108" s="767">
        <v>0</v>
      </c>
      <c r="F108" s="767">
        <v>0</v>
      </c>
      <c r="G108" s="352">
        <v>0</v>
      </c>
      <c r="H108" s="352">
        <v>0</v>
      </c>
      <c r="I108" s="9">
        <v>0</v>
      </c>
      <c r="J108" s="9">
        <v>0</v>
      </c>
    </row>
    <row r="109" spans="2:43" x14ac:dyDescent="0.25">
      <c r="B109" t="s">
        <v>115</v>
      </c>
      <c r="C109" s="9">
        <v>0</v>
      </c>
      <c r="D109" s="352">
        <v>1.1000000000000001</v>
      </c>
      <c r="E109" s="767">
        <v>0</v>
      </c>
      <c r="F109" s="767">
        <v>0</v>
      </c>
      <c r="G109" s="352">
        <v>0</v>
      </c>
      <c r="H109" s="352">
        <v>0</v>
      </c>
      <c r="I109" s="9">
        <v>0</v>
      </c>
      <c r="J109" s="9">
        <v>0</v>
      </c>
    </row>
    <row r="110" spans="2:43" x14ac:dyDescent="0.25">
      <c r="B110" t="s">
        <v>123</v>
      </c>
      <c r="C110" s="9">
        <v>0</v>
      </c>
      <c r="D110" s="352">
        <v>0.98</v>
      </c>
      <c r="E110" s="767">
        <v>0</v>
      </c>
      <c r="F110" s="767">
        <v>0</v>
      </c>
      <c r="G110" s="352">
        <v>0</v>
      </c>
      <c r="H110" s="352">
        <v>0</v>
      </c>
      <c r="I110" s="9">
        <v>0</v>
      </c>
      <c r="J110" s="9">
        <v>0</v>
      </c>
    </row>
    <row r="111" spans="2:43" x14ac:dyDescent="0.25">
      <c r="B111" t="s">
        <v>116</v>
      </c>
      <c r="C111" s="9">
        <v>0</v>
      </c>
      <c r="D111" s="352">
        <v>0.86</v>
      </c>
      <c r="E111" s="767">
        <v>0</v>
      </c>
      <c r="F111" s="767">
        <v>0</v>
      </c>
      <c r="G111" s="352">
        <v>0</v>
      </c>
      <c r="H111" s="352">
        <v>0</v>
      </c>
      <c r="I111" s="9">
        <v>0</v>
      </c>
      <c r="J111" s="9">
        <v>0</v>
      </c>
    </row>
    <row r="112" spans="2:43" x14ac:dyDescent="0.25">
      <c r="B112" t="s">
        <v>338</v>
      </c>
      <c r="C112" s="9">
        <v>0</v>
      </c>
      <c r="D112" s="352">
        <v>0</v>
      </c>
      <c r="E112" s="767">
        <v>0</v>
      </c>
      <c r="F112" s="767">
        <v>0</v>
      </c>
      <c r="G112" s="352">
        <v>0</v>
      </c>
      <c r="H112" s="352">
        <v>0</v>
      </c>
      <c r="I112" s="9">
        <v>0</v>
      </c>
      <c r="J112" s="9">
        <v>0</v>
      </c>
    </row>
    <row r="113" spans="2:10" x14ac:dyDescent="0.25">
      <c r="B113" t="s">
        <v>117</v>
      </c>
      <c r="C113" s="9">
        <v>0</v>
      </c>
      <c r="D113" s="352">
        <v>0.12</v>
      </c>
      <c r="E113" s="767">
        <v>0</v>
      </c>
      <c r="F113" s="767">
        <v>0</v>
      </c>
      <c r="G113" s="352">
        <v>0</v>
      </c>
      <c r="H113" s="352">
        <v>0</v>
      </c>
      <c r="I113" s="9">
        <v>0</v>
      </c>
      <c r="J113" s="9">
        <v>0</v>
      </c>
    </row>
    <row r="114" spans="2:10" x14ac:dyDescent="0.25">
      <c r="B114" t="s">
        <v>496</v>
      </c>
      <c r="C114" s="9">
        <v>0</v>
      </c>
      <c r="D114" s="352">
        <v>1.07</v>
      </c>
      <c r="E114" s="34">
        <f>D114+Inputs!C21</f>
        <v>1.1700000000000002</v>
      </c>
      <c r="F114" s="34">
        <f>D114*0.97</f>
        <v>1.0379</v>
      </c>
      <c r="G114" s="277">
        <f>D114-0.1</f>
        <v>0.97000000000000008</v>
      </c>
      <c r="H114" s="277">
        <v>0</v>
      </c>
      <c r="I114" s="9">
        <v>0</v>
      </c>
      <c r="J114" s="9">
        <v>0</v>
      </c>
    </row>
    <row r="115" spans="2:10" x14ac:dyDescent="0.25">
      <c r="B115" t="s">
        <v>118</v>
      </c>
      <c r="C115" s="352">
        <v>0.1</v>
      </c>
      <c r="D115" s="352">
        <v>0.1</v>
      </c>
      <c r="E115" s="767">
        <f t="shared" ref="E115:F116" si="42">D115</f>
        <v>0.1</v>
      </c>
      <c r="F115" s="767">
        <f t="shared" si="42"/>
        <v>0.1</v>
      </c>
      <c r="G115" s="352">
        <v>0.1</v>
      </c>
      <c r="H115" s="352">
        <v>0.1</v>
      </c>
      <c r="I115" s="352">
        <v>0.1</v>
      </c>
      <c r="J115" s="352">
        <v>0.1</v>
      </c>
    </row>
    <row r="116" spans="2:10" x14ac:dyDescent="0.25">
      <c r="B116" t="s">
        <v>119</v>
      </c>
      <c r="C116" s="352">
        <v>0.01</v>
      </c>
      <c r="D116" s="352">
        <v>0.01</v>
      </c>
      <c r="E116" s="767">
        <f t="shared" si="42"/>
        <v>0.01</v>
      </c>
      <c r="F116" s="767">
        <f t="shared" si="42"/>
        <v>0.01</v>
      </c>
      <c r="G116" s="352">
        <v>0.01</v>
      </c>
      <c r="H116" s="352">
        <v>0.01</v>
      </c>
      <c r="I116" s="352">
        <v>0.01</v>
      </c>
      <c r="J116" s="352">
        <v>0.01</v>
      </c>
    </row>
    <row r="117" spans="2:10" x14ac:dyDescent="0.25">
      <c r="B117" t="s">
        <v>120</v>
      </c>
      <c r="C117" s="9">
        <v>0</v>
      </c>
      <c r="D117" s="352">
        <f>0.8</f>
        <v>0.8</v>
      </c>
      <c r="E117" s="767">
        <v>1</v>
      </c>
      <c r="F117" s="767">
        <f>0.8</f>
        <v>0.8</v>
      </c>
      <c r="G117" s="352">
        <f>0.8</f>
        <v>0.8</v>
      </c>
      <c r="H117" s="352">
        <v>0</v>
      </c>
      <c r="I117" s="9">
        <v>0</v>
      </c>
      <c r="J117" s="9">
        <v>0</v>
      </c>
    </row>
    <row r="118" spans="2:10" x14ac:dyDescent="0.25">
      <c r="B118" t="s">
        <v>121</v>
      </c>
      <c r="C118" s="9">
        <v>0</v>
      </c>
      <c r="D118" s="352">
        <f>0.43</f>
        <v>0.43</v>
      </c>
      <c r="E118" s="767">
        <v>0</v>
      </c>
      <c r="F118" s="767">
        <v>0</v>
      </c>
      <c r="G118" s="352">
        <v>0</v>
      </c>
      <c r="H118" s="352">
        <v>0</v>
      </c>
      <c r="I118" s="9">
        <v>0</v>
      </c>
      <c r="J118" s="9">
        <v>0</v>
      </c>
    </row>
    <row r="119" spans="2:10" x14ac:dyDescent="0.25">
      <c r="B119" t="s">
        <v>435</v>
      </c>
      <c r="C119" s="9">
        <v>0</v>
      </c>
      <c r="D119" s="352">
        <f>-'UtikuSouthTT DilFee Nipisi'!F114</f>
        <v>1.1370268146383926</v>
      </c>
      <c r="E119" s="767">
        <f>D119</f>
        <v>1.1370268146383926</v>
      </c>
      <c r="F119" s="767">
        <f>E119</f>
        <v>1.1370268146383926</v>
      </c>
      <c r="G119" s="352">
        <f>E119</f>
        <v>1.1370268146383926</v>
      </c>
      <c r="H119" s="352">
        <v>0</v>
      </c>
      <c r="I119" s="9">
        <v>0</v>
      </c>
      <c r="J119" s="9">
        <v>0</v>
      </c>
    </row>
    <row r="120" spans="2:10" x14ac:dyDescent="0.25">
      <c r="B120" t="s">
        <v>436</v>
      </c>
      <c r="C120" s="9">
        <v>0</v>
      </c>
      <c r="D120" s="352">
        <v>0.1</v>
      </c>
      <c r="E120" s="767">
        <v>0</v>
      </c>
      <c r="F120" s="767">
        <v>0</v>
      </c>
      <c r="G120" s="352">
        <v>0</v>
      </c>
      <c r="H120" s="352">
        <v>0</v>
      </c>
      <c r="I120" s="9">
        <v>0</v>
      </c>
      <c r="J120" s="9">
        <v>0</v>
      </c>
    </row>
    <row r="121" spans="2:10" x14ac:dyDescent="0.25">
      <c r="B121" t="s">
        <v>337</v>
      </c>
      <c r="C121" s="9">
        <v>0</v>
      </c>
      <c r="D121" s="352">
        <v>0</v>
      </c>
      <c r="E121" s="767">
        <v>0</v>
      </c>
      <c r="F121" s="767">
        <v>0</v>
      </c>
      <c r="G121" s="352">
        <v>0</v>
      </c>
      <c r="H121" s="352">
        <v>0</v>
      </c>
      <c r="I121" s="9">
        <v>0</v>
      </c>
      <c r="J121" s="9">
        <v>0</v>
      </c>
    </row>
    <row r="122" spans="2:10" x14ac:dyDescent="0.25">
      <c r="C122" s="3">
        <f t="shared" ref="C122:D122" si="43">SUM(C107:C121)</f>
        <v>19.188415555694011</v>
      </c>
      <c r="D122" s="3">
        <f t="shared" si="43"/>
        <v>21.297026814638397</v>
      </c>
      <c r="E122" s="3">
        <f>SUM(E106:E121)</f>
        <v>26.667026814638398</v>
      </c>
      <c r="F122" s="3">
        <f>SUM(F106:F121)</f>
        <v>25.284926814638396</v>
      </c>
      <c r="G122" s="3">
        <f>SUM(G107:G121)</f>
        <v>19.617026814638397</v>
      </c>
      <c r="H122" s="3">
        <f>SUM(H107:H121)</f>
        <v>13.508415555694009</v>
      </c>
      <c r="I122" s="3">
        <f>SUM(I107:I121)</f>
        <v>0.11</v>
      </c>
      <c r="J122" s="3">
        <f>SUM(J107:J121)</f>
        <v>0.11</v>
      </c>
    </row>
    <row r="127" spans="2:10" ht="60.75" x14ac:dyDescent="0.3">
      <c r="B127" s="825" t="s">
        <v>473</v>
      </c>
      <c r="C127" s="915">
        <f>C25</f>
        <v>45413</v>
      </c>
      <c r="E127" s="797" t="str">
        <f>E104</f>
        <v>Utikuma North Truck Terminal (Nipisi P/L)</v>
      </c>
      <c r="F127" s="797" t="str">
        <f>F104</f>
        <v>Utikuma South Truck Terminal (Nipisi P/L)</v>
      </c>
      <c r="G127" s="799" t="s">
        <v>478</v>
      </c>
    </row>
    <row r="128" spans="2:10" x14ac:dyDescent="0.25">
      <c r="B128" t="s">
        <v>474</v>
      </c>
      <c r="E128" s="1">
        <f>'UtikuNorthTT DilFee Nipisi'!C22</f>
        <v>965</v>
      </c>
      <c r="F128" s="1">
        <f>'UtikuSouthTT DilFee Nipisi'!C22</f>
        <v>965</v>
      </c>
    </row>
    <row r="129" spans="2:7" x14ac:dyDescent="0.25">
      <c r="B129" t="s">
        <v>475</v>
      </c>
      <c r="E129" s="826">
        <f>'UtikuNorthTT DilFee Nipisi'!B10</f>
        <v>0.52249999999999996</v>
      </c>
      <c r="F129" s="826">
        <f>'UtikuSouthTT DilFee Nipisi'!B10</f>
        <v>0.47499999999999998</v>
      </c>
      <c r="G129" s="905">
        <f>E129-F129</f>
        <v>4.7499999999999987E-2</v>
      </c>
    </row>
    <row r="130" spans="2:7" x14ac:dyDescent="0.25">
      <c r="B130" t="s">
        <v>493</v>
      </c>
      <c r="E130" s="3">
        <f>'UtikuNorthTT DilFee Nipisi'!B13</f>
        <v>41.078949999999999</v>
      </c>
      <c r="F130" s="3">
        <f>'UtikuSouthTT DilFee Nipisi'!B13</f>
        <v>37.344500000000004</v>
      </c>
      <c r="G130" s="3">
        <f>E130-F130</f>
        <v>3.7344499999999954</v>
      </c>
    </row>
    <row r="131" spans="2:7" x14ac:dyDescent="0.25">
      <c r="E131" s="3"/>
      <c r="F131" s="3"/>
      <c r="G131" s="3"/>
    </row>
    <row r="132" spans="2:7" x14ac:dyDescent="0.25">
      <c r="E132" s="826"/>
      <c r="F132" s="826"/>
    </row>
    <row r="133" spans="2:7" x14ac:dyDescent="0.25">
      <c r="B133" t="s">
        <v>489</v>
      </c>
      <c r="E133" s="1">
        <f>'UtikuNorthTT DilFee Nipisi'!B28</f>
        <v>924.4</v>
      </c>
      <c r="F133" s="1">
        <f>'UtikuSouthTT DilFee Nipisi'!B28</f>
        <v>924.4</v>
      </c>
    </row>
    <row r="134" spans="2:7" x14ac:dyDescent="0.25">
      <c r="B134" t="s">
        <v>476</v>
      </c>
      <c r="E134" s="10">
        <f>'UtikuNorthTT DilFee Nipisi'!B24</f>
        <v>3247.2322239031796</v>
      </c>
      <c r="F134" s="10">
        <f>'UtikuSouthTT DilFee Nipisi'!B24</f>
        <v>3247.2322239031796</v>
      </c>
    </row>
    <row r="135" spans="2:7" x14ac:dyDescent="0.25">
      <c r="B135" t="s">
        <v>477</v>
      </c>
      <c r="E135" s="10">
        <f>'UtikuNorthTT DilFee Nipisi'!C51</f>
        <v>24303.161796641438</v>
      </c>
      <c r="F135" s="10">
        <f>'UtikuSouthTT DilFee Nipisi'!C51</f>
        <v>24303.161796641438</v>
      </c>
    </row>
    <row r="136" spans="2:7" x14ac:dyDescent="0.25">
      <c r="B136" t="s">
        <v>479</v>
      </c>
      <c r="E136" s="9">
        <f>-'UtikuNorthTT DilFee Nipisi'!D57</f>
        <v>41.086206896551722</v>
      </c>
      <c r="F136" s="9">
        <f>-'UtikuSouthTT DilFee Nipisi'!D57</f>
        <v>38.189655172413794</v>
      </c>
      <c r="G136" s="3">
        <f>E136-F136</f>
        <v>2.8965517241379288</v>
      </c>
    </row>
    <row r="137" spans="2:7" x14ac:dyDescent="0.25">
      <c r="B137" t="s">
        <v>480</v>
      </c>
      <c r="E137" s="9">
        <f>-'UtikuNorthTT DilFee Nipisi'!D58</f>
        <v>25.530000000000005</v>
      </c>
      <c r="F137" s="9">
        <f>-'UtikuSouthTT DilFee Nipisi'!D58</f>
        <v>24.147900000000003</v>
      </c>
      <c r="G137" s="3">
        <f>E137-F137</f>
        <v>1.3821000000000012</v>
      </c>
    </row>
    <row r="138" spans="2:7" x14ac:dyDescent="0.25">
      <c r="B138" t="s">
        <v>482</v>
      </c>
      <c r="E138" s="9">
        <f>'UtikuNorthTT DilFee Nipisi'!E64</f>
        <v>512.02367986454192</v>
      </c>
      <c r="F138" s="9">
        <f>'UtikuSouthTT DilFee Nipisi'!E64</f>
        <v>514.06278916862664</v>
      </c>
      <c r="G138" s="3">
        <f>E138-F138</f>
        <v>-2.0391093040847181</v>
      </c>
    </row>
    <row r="139" spans="2:7" x14ac:dyDescent="0.25">
      <c r="B139" t="s">
        <v>481</v>
      </c>
      <c r="E139" s="9">
        <f>-'UtikuNorthTT DilFee Nipisi'!E71</f>
        <v>93.448512657083299</v>
      </c>
      <c r="F139" s="9">
        <f>-'UtikuSouthTT DilFee Nipisi'!E71</f>
        <v>93.061494038867011</v>
      </c>
      <c r="G139" s="3">
        <f>E139-F139</f>
        <v>0.38701861821628825</v>
      </c>
    </row>
    <row r="142" spans="2:7" x14ac:dyDescent="0.25">
      <c r="B142" t="s">
        <v>490</v>
      </c>
      <c r="E142" s="1">
        <f>'UtikuNorthTT DilFee Nipisi'!B83</f>
        <v>924.40000000000009</v>
      </c>
      <c r="F142" s="1">
        <f>'UtikuSouthTT DilFee Nipisi'!B83</f>
        <v>924.40000000000009</v>
      </c>
    </row>
    <row r="143" spans="2:7" x14ac:dyDescent="0.25">
      <c r="B143" t="s">
        <v>491</v>
      </c>
      <c r="E143" s="10">
        <f>'UtikuNorthTT DilFee Nipisi'!B79</f>
        <v>674.58929999999998</v>
      </c>
      <c r="F143" s="10">
        <f>'UtikuSouthTT DilFee Nipisi'!B79</f>
        <v>674.58929999999998</v>
      </c>
    </row>
    <row r="144" spans="2:7" x14ac:dyDescent="0.25">
      <c r="B144" t="s">
        <v>483</v>
      </c>
      <c r="E144" s="10">
        <f>'UtikuNorthTT DilFee Nipisi'!B80</f>
        <v>2355.7742003782128</v>
      </c>
      <c r="F144" s="10">
        <f>'UtikuSouthTT DilFee Nipisi'!B80</f>
        <v>2355.7742003782128</v>
      </c>
    </row>
    <row r="145" spans="2:7" x14ac:dyDescent="0.25">
      <c r="B145" t="s">
        <v>484</v>
      </c>
      <c r="E145" s="10">
        <f>'UtikuNorthTT DilFee Nipisi'!C106</f>
        <v>24059.373431902815</v>
      </c>
      <c r="F145" s="10">
        <f>'UtikuSouthTT DilFee Nipisi'!C106</f>
        <v>24059.373431902815</v>
      </c>
    </row>
    <row r="146" spans="2:7" x14ac:dyDescent="0.25">
      <c r="B146" t="s">
        <v>485</v>
      </c>
      <c r="E146" s="9">
        <f>-'UtikuNorthTT DilFee Nipisi'!D112</f>
        <v>41.086206896551722</v>
      </c>
      <c r="F146" s="9">
        <f>-'UtikuSouthTT DilFee Nipisi'!D112</f>
        <v>38.189655172413794</v>
      </c>
      <c r="G146" s="3">
        <f>E146-F146</f>
        <v>2.8965517241379288</v>
      </c>
    </row>
    <row r="147" spans="2:7" x14ac:dyDescent="0.25">
      <c r="B147" t="s">
        <v>486</v>
      </c>
      <c r="E147" s="9">
        <f>-'UtikuNorthTT DilFee Nipisi'!D113</f>
        <v>25.530000000000005</v>
      </c>
      <c r="F147" s="9">
        <f>-'UtikuSouthTT DilFee Nipisi'!D113</f>
        <v>24.147900000000003</v>
      </c>
      <c r="G147" s="3">
        <f>E147-F147</f>
        <v>1.3821000000000012</v>
      </c>
    </row>
    <row r="148" spans="2:7" x14ac:dyDescent="0.25">
      <c r="B148" t="s">
        <v>487</v>
      </c>
      <c r="E148" s="3">
        <f>'UtikuNorthTT DilFee Nipisi'!E119</f>
        <v>523.98599315008573</v>
      </c>
      <c r="F148" s="3">
        <f>'UtikuSouthTT DilFee Nipisi'!E119</f>
        <v>526.91357549333202</v>
      </c>
      <c r="G148" s="3">
        <f>E148-F148</f>
        <v>-2.9275823432462857</v>
      </c>
    </row>
    <row r="149" spans="2:7" x14ac:dyDescent="0.25">
      <c r="B149" t="s">
        <v>488</v>
      </c>
      <c r="E149" s="9">
        <f>-'UtikuNorthTT DilFee Nipisi'!E126</f>
        <v>78.388938721048561</v>
      </c>
      <c r="F149" s="9">
        <f>-'UtikuSouthTT DilFee Nipisi'!E126</f>
        <v>77.204616535792809</v>
      </c>
      <c r="G149" s="3">
        <f>E149-F149</f>
        <v>1.1843221852557519</v>
      </c>
    </row>
  </sheetData>
  <mergeCells count="3">
    <mergeCell ref="X27:AI27"/>
    <mergeCell ref="X98:AQ98"/>
    <mergeCell ref="C58:J58"/>
  </mergeCells>
  <phoneticPr fontId="54" type="noConversion"/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3D4C-2B7F-4E4E-BB47-44EF57AC2648}">
  <dimension ref="A1:S71"/>
  <sheetViews>
    <sheetView topLeftCell="A30" workbookViewId="0">
      <selection activeCell="F10" sqref="F10"/>
    </sheetView>
  </sheetViews>
  <sheetFormatPr defaultRowHeight="15" x14ac:dyDescent="0.2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3.85546875" bestFit="1" customWidth="1"/>
    <col min="11" max="11" width="14.42578125" customWidth="1"/>
    <col min="12" max="12" width="14.140625" customWidth="1"/>
    <col min="14" max="14" width="19.85546875" bestFit="1" customWidth="1"/>
    <col min="15" max="18" width="12.85546875" bestFit="1" customWidth="1"/>
    <col min="256" max="256" width="36.7109375" customWidth="1"/>
    <col min="257" max="257" width="15.42578125" customWidth="1"/>
    <col min="259" max="259" width="16.7109375" customWidth="1"/>
    <col min="260" max="260" width="22.5703125" customWidth="1"/>
    <col min="261" max="261" width="17.5703125" customWidth="1"/>
    <col min="263" max="263" width="10.140625" bestFit="1" customWidth="1"/>
    <col min="271" max="274" width="12.85546875" bestFit="1" customWidth="1"/>
    <col min="512" max="512" width="36.7109375" customWidth="1"/>
    <col min="513" max="513" width="15.42578125" customWidth="1"/>
    <col min="515" max="515" width="16.7109375" customWidth="1"/>
    <col min="516" max="516" width="22.5703125" customWidth="1"/>
    <col min="517" max="517" width="17.5703125" customWidth="1"/>
    <col min="519" max="519" width="10.140625" bestFit="1" customWidth="1"/>
    <col min="527" max="530" width="12.85546875" bestFit="1" customWidth="1"/>
    <col min="768" max="768" width="36.7109375" customWidth="1"/>
    <col min="769" max="769" width="15.42578125" customWidth="1"/>
    <col min="771" max="771" width="16.7109375" customWidth="1"/>
    <col min="772" max="772" width="22.5703125" customWidth="1"/>
    <col min="773" max="773" width="17.5703125" customWidth="1"/>
    <col min="775" max="775" width="10.140625" bestFit="1" customWidth="1"/>
    <col min="783" max="786" width="12.85546875" bestFit="1" customWidth="1"/>
    <col min="1024" max="1024" width="36.7109375" customWidth="1"/>
    <col min="1025" max="1025" width="15.42578125" customWidth="1"/>
    <col min="1027" max="1027" width="16.7109375" customWidth="1"/>
    <col min="1028" max="1028" width="22.5703125" customWidth="1"/>
    <col min="1029" max="1029" width="17.5703125" customWidth="1"/>
    <col min="1031" max="1031" width="10.140625" bestFit="1" customWidth="1"/>
    <col min="1039" max="1042" width="12.85546875" bestFit="1" customWidth="1"/>
    <col min="1280" max="1280" width="36.7109375" customWidth="1"/>
    <col min="1281" max="1281" width="15.42578125" customWidth="1"/>
    <col min="1283" max="1283" width="16.7109375" customWidth="1"/>
    <col min="1284" max="1284" width="22.5703125" customWidth="1"/>
    <col min="1285" max="1285" width="17.5703125" customWidth="1"/>
    <col min="1287" max="1287" width="10.140625" bestFit="1" customWidth="1"/>
    <col min="1295" max="1298" width="12.85546875" bestFit="1" customWidth="1"/>
    <col min="1536" max="1536" width="36.7109375" customWidth="1"/>
    <col min="1537" max="1537" width="15.42578125" customWidth="1"/>
    <col min="1539" max="1539" width="16.7109375" customWidth="1"/>
    <col min="1540" max="1540" width="22.5703125" customWidth="1"/>
    <col min="1541" max="1541" width="17.5703125" customWidth="1"/>
    <col min="1543" max="1543" width="10.140625" bestFit="1" customWidth="1"/>
    <col min="1551" max="1554" width="12.85546875" bestFit="1" customWidth="1"/>
    <col min="1792" max="1792" width="36.7109375" customWidth="1"/>
    <col min="1793" max="1793" width="15.42578125" customWidth="1"/>
    <col min="1795" max="1795" width="16.7109375" customWidth="1"/>
    <col min="1796" max="1796" width="22.5703125" customWidth="1"/>
    <col min="1797" max="1797" width="17.5703125" customWidth="1"/>
    <col min="1799" max="1799" width="10.140625" bestFit="1" customWidth="1"/>
    <col min="1807" max="1810" width="12.85546875" bestFit="1" customWidth="1"/>
    <col min="2048" max="2048" width="36.7109375" customWidth="1"/>
    <col min="2049" max="2049" width="15.42578125" customWidth="1"/>
    <col min="2051" max="2051" width="16.7109375" customWidth="1"/>
    <col min="2052" max="2052" width="22.5703125" customWidth="1"/>
    <col min="2053" max="2053" width="17.5703125" customWidth="1"/>
    <col min="2055" max="2055" width="10.140625" bestFit="1" customWidth="1"/>
    <col min="2063" max="2066" width="12.85546875" bestFit="1" customWidth="1"/>
    <col min="2304" max="2304" width="36.7109375" customWidth="1"/>
    <col min="2305" max="2305" width="15.42578125" customWidth="1"/>
    <col min="2307" max="2307" width="16.7109375" customWidth="1"/>
    <col min="2308" max="2308" width="22.5703125" customWidth="1"/>
    <col min="2309" max="2309" width="17.5703125" customWidth="1"/>
    <col min="2311" max="2311" width="10.140625" bestFit="1" customWidth="1"/>
    <col min="2319" max="2322" width="12.85546875" bestFit="1" customWidth="1"/>
    <col min="2560" max="2560" width="36.7109375" customWidth="1"/>
    <col min="2561" max="2561" width="15.42578125" customWidth="1"/>
    <col min="2563" max="2563" width="16.7109375" customWidth="1"/>
    <col min="2564" max="2564" width="22.5703125" customWidth="1"/>
    <col min="2565" max="2565" width="17.5703125" customWidth="1"/>
    <col min="2567" max="2567" width="10.140625" bestFit="1" customWidth="1"/>
    <col min="2575" max="2578" width="12.85546875" bestFit="1" customWidth="1"/>
    <col min="2816" max="2816" width="36.7109375" customWidth="1"/>
    <col min="2817" max="2817" width="15.42578125" customWidth="1"/>
    <col min="2819" max="2819" width="16.7109375" customWidth="1"/>
    <col min="2820" max="2820" width="22.5703125" customWidth="1"/>
    <col min="2821" max="2821" width="17.5703125" customWidth="1"/>
    <col min="2823" max="2823" width="10.140625" bestFit="1" customWidth="1"/>
    <col min="2831" max="2834" width="12.85546875" bestFit="1" customWidth="1"/>
    <col min="3072" max="3072" width="36.7109375" customWidth="1"/>
    <col min="3073" max="3073" width="15.42578125" customWidth="1"/>
    <col min="3075" max="3075" width="16.7109375" customWidth="1"/>
    <col min="3076" max="3076" width="22.5703125" customWidth="1"/>
    <col min="3077" max="3077" width="17.5703125" customWidth="1"/>
    <col min="3079" max="3079" width="10.140625" bestFit="1" customWidth="1"/>
    <col min="3087" max="3090" width="12.85546875" bestFit="1" customWidth="1"/>
    <col min="3328" max="3328" width="36.7109375" customWidth="1"/>
    <col min="3329" max="3329" width="15.42578125" customWidth="1"/>
    <col min="3331" max="3331" width="16.7109375" customWidth="1"/>
    <col min="3332" max="3332" width="22.5703125" customWidth="1"/>
    <col min="3333" max="3333" width="17.5703125" customWidth="1"/>
    <col min="3335" max="3335" width="10.140625" bestFit="1" customWidth="1"/>
    <col min="3343" max="3346" width="12.85546875" bestFit="1" customWidth="1"/>
    <col min="3584" max="3584" width="36.7109375" customWidth="1"/>
    <col min="3585" max="3585" width="15.42578125" customWidth="1"/>
    <col min="3587" max="3587" width="16.7109375" customWidth="1"/>
    <col min="3588" max="3588" width="22.5703125" customWidth="1"/>
    <col min="3589" max="3589" width="17.5703125" customWidth="1"/>
    <col min="3591" max="3591" width="10.140625" bestFit="1" customWidth="1"/>
    <col min="3599" max="3602" width="12.85546875" bestFit="1" customWidth="1"/>
    <col min="3840" max="3840" width="36.7109375" customWidth="1"/>
    <col min="3841" max="3841" width="15.42578125" customWidth="1"/>
    <col min="3843" max="3843" width="16.7109375" customWidth="1"/>
    <col min="3844" max="3844" width="22.5703125" customWidth="1"/>
    <col min="3845" max="3845" width="17.5703125" customWidth="1"/>
    <col min="3847" max="3847" width="10.140625" bestFit="1" customWidth="1"/>
    <col min="3855" max="3858" width="12.85546875" bestFit="1" customWidth="1"/>
    <col min="4096" max="4096" width="36.7109375" customWidth="1"/>
    <col min="4097" max="4097" width="15.42578125" customWidth="1"/>
    <col min="4099" max="4099" width="16.7109375" customWidth="1"/>
    <col min="4100" max="4100" width="22.5703125" customWidth="1"/>
    <col min="4101" max="4101" width="17.5703125" customWidth="1"/>
    <col min="4103" max="4103" width="10.140625" bestFit="1" customWidth="1"/>
    <col min="4111" max="4114" width="12.85546875" bestFit="1" customWidth="1"/>
    <col min="4352" max="4352" width="36.7109375" customWidth="1"/>
    <col min="4353" max="4353" width="15.42578125" customWidth="1"/>
    <col min="4355" max="4355" width="16.7109375" customWidth="1"/>
    <col min="4356" max="4356" width="22.5703125" customWidth="1"/>
    <col min="4357" max="4357" width="17.5703125" customWidth="1"/>
    <col min="4359" max="4359" width="10.140625" bestFit="1" customWidth="1"/>
    <col min="4367" max="4370" width="12.85546875" bestFit="1" customWidth="1"/>
    <col min="4608" max="4608" width="36.7109375" customWidth="1"/>
    <col min="4609" max="4609" width="15.42578125" customWidth="1"/>
    <col min="4611" max="4611" width="16.7109375" customWidth="1"/>
    <col min="4612" max="4612" width="22.5703125" customWidth="1"/>
    <col min="4613" max="4613" width="17.5703125" customWidth="1"/>
    <col min="4615" max="4615" width="10.140625" bestFit="1" customWidth="1"/>
    <col min="4623" max="4626" width="12.85546875" bestFit="1" customWidth="1"/>
    <col min="4864" max="4864" width="36.7109375" customWidth="1"/>
    <col min="4865" max="4865" width="15.42578125" customWidth="1"/>
    <col min="4867" max="4867" width="16.7109375" customWidth="1"/>
    <col min="4868" max="4868" width="22.5703125" customWidth="1"/>
    <col min="4869" max="4869" width="17.5703125" customWidth="1"/>
    <col min="4871" max="4871" width="10.140625" bestFit="1" customWidth="1"/>
    <col min="4879" max="4882" width="12.85546875" bestFit="1" customWidth="1"/>
    <col min="5120" max="5120" width="36.7109375" customWidth="1"/>
    <col min="5121" max="5121" width="15.42578125" customWidth="1"/>
    <col min="5123" max="5123" width="16.7109375" customWidth="1"/>
    <col min="5124" max="5124" width="22.5703125" customWidth="1"/>
    <col min="5125" max="5125" width="17.5703125" customWidth="1"/>
    <col min="5127" max="5127" width="10.140625" bestFit="1" customWidth="1"/>
    <col min="5135" max="5138" width="12.85546875" bestFit="1" customWidth="1"/>
    <col min="5376" max="5376" width="36.7109375" customWidth="1"/>
    <col min="5377" max="5377" width="15.42578125" customWidth="1"/>
    <col min="5379" max="5379" width="16.7109375" customWidth="1"/>
    <col min="5380" max="5380" width="22.5703125" customWidth="1"/>
    <col min="5381" max="5381" width="17.5703125" customWidth="1"/>
    <col min="5383" max="5383" width="10.140625" bestFit="1" customWidth="1"/>
    <col min="5391" max="5394" width="12.85546875" bestFit="1" customWidth="1"/>
    <col min="5632" max="5632" width="36.7109375" customWidth="1"/>
    <col min="5633" max="5633" width="15.42578125" customWidth="1"/>
    <col min="5635" max="5635" width="16.7109375" customWidth="1"/>
    <col min="5636" max="5636" width="22.5703125" customWidth="1"/>
    <col min="5637" max="5637" width="17.5703125" customWidth="1"/>
    <col min="5639" max="5639" width="10.140625" bestFit="1" customWidth="1"/>
    <col min="5647" max="5650" width="12.85546875" bestFit="1" customWidth="1"/>
    <col min="5888" max="5888" width="36.7109375" customWidth="1"/>
    <col min="5889" max="5889" width="15.42578125" customWidth="1"/>
    <col min="5891" max="5891" width="16.7109375" customWidth="1"/>
    <col min="5892" max="5892" width="22.5703125" customWidth="1"/>
    <col min="5893" max="5893" width="17.5703125" customWidth="1"/>
    <col min="5895" max="5895" width="10.140625" bestFit="1" customWidth="1"/>
    <col min="5903" max="5906" width="12.85546875" bestFit="1" customWidth="1"/>
    <col min="6144" max="6144" width="36.7109375" customWidth="1"/>
    <col min="6145" max="6145" width="15.42578125" customWidth="1"/>
    <col min="6147" max="6147" width="16.7109375" customWidth="1"/>
    <col min="6148" max="6148" width="22.5703125" customWidth="1"/>
    <col min="6149" max="6149" width="17.5703125" customWidth="1"/>
    <col min="6151" max="6151" width="10.140625" bestFit="1" customWidth="1"/>
    <col min="6159" max="6162" width="12.85546875" bestFit="1" customWidth="1"/>
    <col min="6400" max="6400" width="36.7109375" customWidth="1"/>
    <col min="6401" max="6401" width="15.42578125" customWidth="1"/>
    <col min="6403" max="6403" width="16.7109375" customWidth="1"/>
    <col min="6404" max="6404" width="22.5703125" customWidth="1"/>
    <col min="6405" max="6405" width="17.5703125" customWidth="1"/>
    <col min="6407" max="6407" width="10.140625" bestFit="1" customWidth="1"/>
    <col min="6415" max="6418" width="12.85546875" bestFit="1" customWidth="1"/>
    <col min="6656" max="6656" width="36.7109375" customWidth="1"/>
    <col min="6657" max="6657" width="15.42578125" customWidth="1"/>
    <col min="6659" max="6659" width="16.7109375" customWidth="1"/>
    <col min="6660" max="6660" width="22.5703125" customWidth="1"/>
    <col min="6661" max="6661" width="17.5703125" customWidth="1"/>
    <col min="6663" max="6663" width="10.140625" bestFit="1" customWidth="1"/>
    <col min="6671" max="6674" width="12.85546875" bestFit="1" customWidth="1"/>
    <col min="6912" max="6912" width="36.7109375" customWidth="1"/>
    <col min="6913" max="6913" width="15.42578125" customWidth="1"/>
    <col min="6915" max="6915" width="16.7109375" customWidth="1"/>
    <col min="6916" max="6916" width="22.5703125" customWidth="1"/>
    <col min="6917" max="6917" width="17.5703125" customWidth="1"/>
    <col min="6919" max="6919" width="10.140625" bestFit="1" customWidth="1"/>
    <col min="6927" max="6930" width="12.85546875" bestFit="1" customWidth="1"/>
    <col min="7168" max="7168" width="36.7109375" customWidth="1"/>
    <col min="7169" max="7169" width="15.42578125" customWidth="1"/>
    <col min="7171" max="7171" width="16.7109375" customWidth="1"/>
    <col min="7172" max="7172" width="22.5703125" customWidth="1"/>
    <col min="7173" max="7173" width="17.5703125" customWidth="1"/>
    <col min="7175" max="7175" width="10.140625" bestFit="1" customWidth="1"/>
    <col min="7183" max="7186" width="12.85546875" bestFit="1" customWidth="1"/>
    <col min="7424" max="7424" width="36.7109375" customWidth="1"/>
    <col min="7425" max="7425" width="15.42578125" customWidth="1"/>
    <col min="7427" max="7427" width="16.7109375" customWidth="1"/>
    <col min="7428" max="7428" width="22.5703125" customWidth="1"/>
    <col min="7429" max="7429" width="17.5703125" customWidth="1"/>
    <col min="7431" max="7431" width="10.140625" bestFit="1" customWidth="1"/>
    <col min="7439" max="7442" width="12.85546875" bestFit="1" customWidth="1"/>
    <col min="7680" max="7680" width="36.7109375" customWidth="1"/>
    <col min="7681" max="7681" width="15.42578125" customWidth="1"/>
    <col min="7683" max="7683" width="16.7109375" customWidth="1"/>
    <col min="7684" max="7684" width="22.5703125" customWidth="1"/>
    <col min="7685" max="7685" width="17.5703125" customWidth="1"/>
    <col min="7687" max="7687" width="10.140625" bestFit="1" customWidth="1"/>
    <col min="7695" max="7698" width="12.85546875" bestFit="1" customWidth="1"/>
    <col min="7936" max="7936" width="36.7109375" customWidth="1"/>
    <col min="7937" max="7937" width="15.42578125" customWidth="1"/>
    <col min="7939" max="7939" width="16.7109375" customWidth="1"/>
    <col min="7940" max="7940" width="22.5703125" customWidth="1"/>
    <col min="7941" max="7941" width="17.5703125" customWidth="1"/>
    <col min="7943" max="7943" width="10.140625" bestFit="1" customWidth="1"/>
    <col min="7951" max="7954" width="12.85546875" bestFit="1" customWidth="1"/>
    <col min="8192" max="8192" width="36.7109375" customWidth="1"/>
    <col min="8193" max="8193" width="15.42578125" customWidth="1"/>
    <col min="8195" max="8195" width="16.7109375" customWidth="1"/>
    <col min="8196" max="8196" width="22.5703125" customWidth="1"/>
    <col min="8197" max="8197" width="17.5703125" customWidth="1"/>
    <col min="8199" max="8199" width="10.140625" bestFit="1" customWidth="1"/>
    <col min="8207" max="8210" width="12.85546875" bestFit="1" customWidth="1"/>
    <col min="8448" max="8448" width="36.7109375" customWidth="1"/>
    <col min="8449" max="8449" width="15.42578125" customWidth="1"/>
    <col min="8451" max="8451" width="16.7109375" customWidth="1"/>
    <col min="8452" max="8452" width="22.5703125" customWidth="1"/>
    <col min="8453" max="8453" width="17.5703125" customWidth="1"/>
    <col min="8455" max="8455" width="10.140625" bestFit="1" customWidth="1"/>
    <col min="8463" max="8466" width="12.85546875" bestFit="1" customWidth="1"/>
    <col min="8704" max="8704" width="36.7109375" customWidth="1"/>
    <col min="8705" max="8705" width="15.42578125" customWidth="1"/>
    <col min="8707" max="8707" width="16.7109375" customWidth="1"/>
    <col min="8708" max="8708" width="22.5703125" customWidth="1"/>
    <col min="8709" max="8709" width="17.5703125" customWidth="1"/>
    <col min="8711" max="8711" width="10.140625" bestFit="1" customWidth="1"/>
    <col min="8719" max="8722" width="12.85546875" bestFit="1" customWidth="1"/>
    <col min="8960" max="8960" width="36.7109375" customWidth="1"/>
    <col min="8961" max="8961" width="15.42578125" customWidth="1"/>
    <col min="8963" max="8963" width="16.7109375" customWidth="1"/>
    <col min="8964" max="8964" width="22.5703125" customWidth="1"/>
    <col min="8965" max="8965" width="17.5703125" customWidth="1"/>
    <col min="8967" max="8967" width="10.140625" bestFit="1" customWidth="1"/>
    <col min="8975" max="8978" width="12.85546875" bestFit="1" customWidth="1"/>
    <col min="9216" max="9216" width="36.7109375" customWidth="1"/>
    <col min="9217" max="9217" width="15.42578125" customWidth="1"/>
    <col min="9219" max="9219" width="16.7109375" customWidth="1"/>
    <col min="9220" max="9220" width="22.5703125" customWidth="1"/>
    <col min="9221" max="9221" width="17.5703125" customWidth="1"/>
    <col min="9223" max="9223" width="10.140625" bestFit="1" customWidth="1"/>
    <col min="9231" max="9234" width="12.85546875" bestFit="1" customWidth="1"/>
    <col min="9472" max="9472" width="36.7109375" customWidth="1"/>
    <col min="9473" max="9473" width="15.42578125" customWidth="1"/>
    <col min="9475" max="9475" width="16.7109375" customWidth="1"/>
    <col min="9476" max="9476" width="22.5703125" customWidth="1"/>
    <col min="9477" max="9477" width="17.5703125" customWidth="1"/>
    <col min="9479" max="9479" width="10.140625" bestFit="1" customWidth="1"/>
    <col min="9487" max="9490" width="12.85546875" bestFit="1" customWidth="1"/>
    <col min="9728" max="9728" width="36.7109375" customWidth="1"/>
    <col min="9729" max="9729" width="15.42578125" customWidth="1"/>
    <col min="9731" max="9731" width="16.7109375" customWidth="1"/>
    <col min="9732" max="9732" width="22.5703125" customWidth="1"/>
    <col min="9733" max="9733" width="17.5703125" customWidth="1"/>
    <col min="9735" max="9735" width="10.140625" bestFit="1" customWidth="1"/>
    <col min="9743" max="9746" width="12.85546875" bestFit="1" customWidth="1"/>
    <col min="9984" max="9984" width="36.7109375" customWidth="1"/>
    <col min="9985" max="9985" width="15.42578125" customWidth="1"/>
    <col min="9987" max="9987" width="16.7109375" customWidth="1"/>
    <col min="9988" max="9988" width="22.5703125" customWidth="1"/>
    <col min="9989" max="9989" width="17.5703125" customWidth="1"/>
    <col min="9991" max="9991" width="10.140625" bestFit="1" customWidth="1"/>
    <col min="9999" max="10002" width="12.85546875" bestFit="1" customWidth="1"/>
    <col min="10240" max="10240" width="36.7109375" customWidth="1"/>
    <col min="10241" max="10241" width="15.42578125" customWidth="1"/>
    <col min="10243" max="10243" width="16.7109375" customWidth="1"/>
    <col min="10244" max="10244" width="22.5703125" customWidth="1"/>
    <col min="10245" max="10245" width="17.5703125" customWidth="1"/>
    <col min="10247" max="10247" width="10.140625" bestFit="1" customWidth="1"/>
    <col min="10255" max="10258" width="12.85546875" bestFit="1" customWidth="1"/>
    <col min="10496" max="10496" width="36.7109375" customWidth="1"/>
    <col min="10497" max="10497" width="15.42578125" customWidth="1"/>
    <col min="10499" max="10499" width="16.7109375" customWidth="1"/>
    <col min="10500" max="10500" width="22.5703125" customWidth="1"/>
    <col min="10501" max="10501" width="17.5703125" customWidth="1"/>
    <col min="10503" max="10503" width="10.140625" bestFit="1" customWidth="1"/>
    <col min="10511" max="10514" width="12.85546875" bestFit="1" customWidth="1"/>
    <col min="10752" max="10752" width="36.7109375" customWidth="1"/>
    <col min="10753" max="10753" width="15.42578125" customWidth="1"/>
    <col min="10755" max="10755" width="16.7109375" customWidth="1"/>
    <col min="10756" max="10756" width="22.5703125" customWidth="1"/>
    <col min="10757" max="10757" width="17.5703125" customWidth="1"/>
    <col min="10759" max="10759" width="10.140625" bestFit="1" customWidth="1"/>
    <col min="10767" max="10770" width="12.85546875" bestFit="1" customWidth="1"/>
    <col min="11008" max="11008" width="36.7109375" customWidth="1"/>
    <col min="11009" max="11009" width="15.42578125" customWidth="1"/>
    <col min="11011" max="11011" width="16.7109375" customWidth="1"/>
    <col min="11012" max="11012" width="22.5703125" customWidth="1"/>
    <col min="11013" max="11013" width="17.5703125" customWidth="1"/>
    <col min="11015" max="11015" width="10.140625" bestFit="1" customWidth="1"/>
    <col min="11023" max="11026" width="12.85546875" bestFit="1" customWidth="1"/>
    <col min="11264" max="11264" width="36.7109375" customWidth="1"/>
    <col min="11265" max="11265" width="15.42578125" customWidth="1"/>
    <col min="11267" max="11267" width="16.7109375" customWidth="1"/>
    <col min="11268" max="11268" width="22.5703125" customWidth="1"/>
    <col min="11269" max="11269" width="17.5703125" customWidth="1"/>
    <col min="11271" max="11271" width="10.140625" bestFit="1" customWidth="1"/>
    <col min="11279" max="11282" width="12.85546875" bestFit="1" customWidth="1"/>
    <col min="11520" max="11520" width="36.7109375" customWidth="1"/>
    <col min="11521" max="11521" width="15.42578125" customWidth="1"/>
    <col min="11523" max="11523" width="16.7109375" customWidth="1"/>
    <col min="11524" max="11524" width="22.5703125" customWidth="1"/>
    <col min="11525" max="11525" width="17.5703125" customWidth="1"/>
    <col min="11527" max="11527" width="10.140625" bestFit="1" customWidth="1"/>
    <col min="11535" max="11538" width="12.85546875" bestFit="1" customWidth="1"/>
    <col min="11776" max="11776" width="36.7109375" customWidth="1"/>
    <col min="11777" max="11777" width="15.42578125" customWidth="1"/>
    <col min="11779" max="11779" width="16.7109375" customWidth="1"/>
    <col min="11780" max="11780" width="22.5703125" customWidth="1"/>
    <col min="11781" max="11781" width="17.5703125" customWidth="1"/>
    <col min="11783" max="11783" width="10.140625" bestFit="1" customWidth="1"/>
    <col min="11791" max="11794" width="12.85546875" bestFit="1" customWidth="1"/>
    <col min="12032" max="12032" width="36.7109375" customWidth="1"/>
    <col min="12033" max="12033" width="15.42578125" customWidth="1"/>
    <col min="12035" max="12035" width="16.7109375" customWidth="1"/>
    <col min="12036" max="12036" width="22.5703125" customWidth="1"/>
    <col min="12037" max="12037" width="17.5703125" customWidth="1"/>
    <col min="12039" max="12039" width="10.140625" bestFit="1" customWidth="1"/>
    <col min="12047" max="12050" width="12.85546875" bestFit="1" customWidth="1"/>
    <col min="12288" max="12288" width="36.7109375" customWidth="1"/>
    <col min="12289" max="12289" width="15.42578125" customWidth="1"/>
    <col min="12291" max="12291" width="16.7109375" customWidth="1"/>
    <col min="12292" max="12292" width="22.5703125" customWidth="1"/>
    <col min="12293" max="12293" width="17.5703125" customWidth="1"/>
    <col min="12295" max="12295" width="10.140625" bestFit="1" customWidth="1"/>
    <col min="12303" max="12306" width="12.85546875" bestFit="1" customWidth="1"/>
    <col min="12544" max="12544" width="36.7109375" customWidth="1"/>
    <col min="12545" max="12545" width="15.42578125" customWidth="1"/>
    <col min="12547" max="12547" width="16.7109375" customWidth="1"/>
    <col min="12548" max="12548" width="22.5703125" customWidth="1"/>
    <col min="12549" max="12549" width="17.5703125" customWidth="1"/>
    <col min="12551" max="12551" width="10.140625" bestFit="1" customWidth="1"/>
    <col min="12559" max="12562" width="12.85546875" bestFit="1" customWidth="1"/>
    <col min="12800" max="12800" width="36.7109375" customWidth="1"/>
    <col min="12801" max="12801" width="15.42578125" customWidth="1"/>
    <col min="12803" max="12803" width="16.7109375" customWidth="1"/>
    <col min="12804" max="12804" width="22.5703125" customWidth="1"/>
    <col min="12805" max="12805" width="17.5703125" customWidth="1"/>
    <col min="12807" max="12807" width="10.140625" bestFit="1" customWidth="1"/>
    <col min="12815" max="12818" width="12.85546875" bestFit="1" customWidth="1"/>
    <col min="13056" max="13056" width="36.7109375" customWidth="1"/>
    <col min="13057" max="13057" width="15.42578125" customWidth="1"/>
    <col min="13059" max="13059" width="16.7109375" customWidth="1"/>
    <col min="13060" max="13060" width="22.5703125" customWidth="1"/>
    <col min="13061" max="13061" width="17.5703125" customWidth="1"/>
    <col min="13063" max="13063" width="10.140625" bestFit="1" customWidth="1"/>
    <col min="13071" max="13074" width="12.85546875" bestFit="1" customWidth="1"/>
    <col min="13312" max="13312" width="36.7109375" customWidth="1"/>
    <col min="13313" max="13313" width="15.42578125" customWidth="1"/>
    <col min="13315" max="13315" width="16.7109375" customWidth="1"/>
    <col min="13316" max="13316" width="22.5703125" customWidth="1"/>
    <col min="13317" max="13317" width="17.5703125" customWidth="1"/>
    <col min="13319" max="13319" width="10.140625" bestFit="1" customWidth="1"/>
    <col min="13327" max="13330" width="12.85546875" bestFit="1" customWidth="1"/>
    <col min="13568" max="13568" width="36.7109375" customWidth="1"/>
    <col min="13569" max="13569" width="15.42578125" customWidth="1"/>
    <col min="13571" max="13571" width="16.7109375" customWidth="1"/>
    <col min="13572" max="13572" width="22.5703125" customWidth="1"/>
    <col min="13573" max="13573" width="17.5703125" customWidth="1"/>
    <col min="13575" max="13575" width="10.140625" bestFit="1" customWidth="1"/>
    <col min="13583" max="13586" width="12.85546875" bestFit="1" customWidth="1"/>
    <col min="13824" max="13824" width="36.7109375" customWidth="1"/>
    <col min="13825" max="13825" width="15.42578125" customWidth="1"/>
    <col min="13827" max="13827" width="16.7109375" customWidth="1"/>
    <col min="13828" max="13828" width="22.5703125" customWidth="1"/>
    <col min="13829" max="13829" width="17.5703125" customWidth="1"/>
    <col min="13831" max="13831" width="10.140625" bestFit="1" customWidth="1"/>
    <col min="13839" max="13842" width="12.85546875" bestFit="1" customWidth="1"/>
    <col min="14080" max="14080" width="36.7109375" customWidth="1"/>
    <col min="14081" max="14081" width="15.42578125" customWidth="1"/>
    <col min="14083" max="14083" width="16.7109375" customWidth="1"/>
    <col min="14084" max="14084" width="22.5703125" customWidth="1"/>
    <col min="14085" max="14085" width="17.5703125" customWidth="1"/>
    <col min="14087" max="14087" width="10.140625" bestFit="1" customWidth="1"/>
    <col min="14095" max="14098" width="12.85546875" bestFit="1" customWidth="1"/>
    <col min="14336" max="14336" width="36.7109375" customWidth="1"/>
    <col min="14337" max="14337" width="15.42578125" customWidth="1"/>
    <col min="14339" max="14339" width="16.7109375" customWidth="1"/>
    <col min="14340" max="14340" width="22.5703125" customWidth="1"/>
    <col min="14341" max="14341" width="17.5703125" customWidth="1"/>
    <col min="14343" max="14343" width="10.140625" bestFit="1" customWidth="1"/>
    <col min="14351" max="14354" width="12.85546875" bestFit="1" customWidth="1"/>
    <col min="14592" max="14592" width="36.7109375" customWidth="1"/>
    <col min="14593" max="14593" width="15.42578125" customWidth="1"/>
    <col min="14595" max="14595" width="16.7109375" customWidth="1"/>
    <col min="14596" max="14596" width="22.5703125" customWidth="1"/>
    <col min="14597" max="14597" width="17.5703125" customWidth="1"/>
    <col min="14599" max="14599" width="10.140625" bestFit="1" customWidth="1"/>
    <col min="14607" max="14610" width="12.85546875" bestFit="1" customWidth="1"/>
    <col min="14848" max="14848" width="36.7109375" customWidth="1"/>
    <col min="14849" max="14849" width="15.42578125" customWidth="1"/>
    <col min="14851" max="14851" width="16.7109375" customWidth="1"/>
    <col min="14852" max="14852" width="22.5703125" customWidth="1"/>
    <col min="14853" max="14853" width="17.5703125" customWidth="1"/>
    <col min="14855" max="14855" width="10.140625" bestFit="1" customWidth="1"/>
    <col min="14863" max="14866" width="12.85546875" bestFit="1" customWidth="1"/>
    <col min="15104" max="15104" width="36.7109375" customWidth="1"/>
    <col min="15105" max="15105" width="15.42578125" customWidth="1"/>
    <col min="15107" max="15107" width="16.7109375" customWidth="1"/>
    <col min="15108" max="15108" width="22.5703125" customWidth="1"/>
    <col min="15109" max="15109" width="17.5703125" customWidth="1"/>
    <col min="15111" max="15111" width="10.140625" bestFit="1" customWidth="1"/>
    <col min="15119" max="15122" width="12.85546875" bestFit="1" customWidth="1"/>
    <col min="15360" max="15360" width="36.7109375" customWidth="1"/>
    <col min="15361" max="15361" width="15.42578125" customWidth="1"/>
    <col min="15363" max="15363" width="16.7109375" customWidth="1"/>
    <col min="15364" max="15364" width="22.5703125" customWidth="1"/>
    <col min="15365" max="15365" width="17.5703125" customWidth="1"/>
    <col min="15367" max="15367" width="10.140625" bestFit="1" customWidth="1"/>
    <col min="15375" max="15378" width="12.85546875" bestFit="1" customWidth="1"/>
    <col min="15616" max="15616" width="36.7109375" customWidth="1"/>
    <col min="15617" max="15617" width="15.42578125" customWidth="1"/>
    <col min="15619" max="15619" width="16.7109375" customWidth="1"/>
    <col min="15620" max="15620" width="22.5703125" customWidth="1"/>
    <col min="15621" max="15621" width="17.5703125" customWidth="1"/>
    <col min="15623" max="15623" width="10.140625" bestFit="1" customWidth="1"/>
    <col min="15631" max="15634" width="12.85546875" bestFit="1" customWidth="1"/>
    <col min="15872" max="15872" width="36.7109375" customWidth="1"/>
    <col min="15873" max="15873" width="15.42578125" customWidth="1"/>
    <col min="15875" max="15875" width="16.7109375" customWidth="1"/>
    <col min="15876" max="15876" width="22.5703125" customWidth="1"/>
    <col min="15877" max="15877" width="17.5703125" customWidth="1"/>
    <col min="15879" max="15879" width="10.140625" bestFit="1" customWidth="1"/>
    <col min="15887" max="15890" width="12.85546875" bestFit="1" customWidth="1"/>
    <col min="16128" max="16128" width="36.7109375" customWidth="1"/>
    <col min="16129" max="16129" width="15.42578125" customWidth="1"/>
    <col min="16131" max="16131" width="16.7109375" customWidth="1"/>
    <col min="16132" max="16132" width="22.5703125" customWidth="1"/>
    <col min="16133" max="16133" width="17.5703125" customWidth="1"/>
    <col min="16135" max="16135" width="10.140625" bestFit="1" customWidth="1"/>
    <col min="16143" max="16146" width="12.85546875" bestFit="1" customWidth="1"/>
  </cols>
  <sheetData>
    <row r="1" spans="1:18" x14ac:dyDescent="0.25">
      <c r="B1" s="36"/>
      <c r="C1" s="37"/>
    </row>
    <row r="2" spans="1:18" ht="15.75" x14ac:dyDescent="0.25">
      <c r="F2" s="38"/>
    </row>
    <row r="3" spans="1:18" ht="30" x14ac:dyDescent="0.4">
      <c r="A3" s="818" t="s">
        <v>184</v>
      </c>
      <c r="B3" s="818"/>
      <c r="C3" s="818"/>
      <c r="D3" s="818"/>
      <c r="E3" s="818"/>
      <c r="F3" s="818"/>
      <c r="G3" s="818"/>
      <c r="H3" s="39"/>
    </row>
    <row r="4" spans="1:18" ht="18" x14ac:dyDescent="0.25">
      <c r="A4" s="40"/>
      <c r="F4" s="41"/>
    </row>
    <row r="5" spans="1:18" ht="18" x14ac:dyDescent="0.25">
      <c r="F5" s="42"/>
    </row>
    <row r="6" spans="1:18" ht="18.75" x14ac:dyDescent="0.3">
      <c r="F6" s="43"/>
    </row>
    <row r="7" spans="1:18" ht="30.75" thickBot="1" x14ac:dyDescent="0.3">
      <c r="F7" s="44" t="s">
        <v>127</v>
      </c>
      <c r="I7" s="46"/>
      <c r="J7" s="47" t="s">
        <v>124</v>
      </c>
      <c r="K7" s="48" t="s">
        <v>442</v>
      </c>
      <c r="L7" s="48" t="s">
        <v>3</v>
      </c>
      <c r="P7" s="49"/>
      <c r="Q7" s="49"/>
      <c r="R7" s="49"/>
    </row>
    <row r="8" spans="1:18" ht="17.25" thickTop="1" thickBot="1" x14ac:dyDescent="0.3">
      <c r="A8" s="50" t="s">
        <v>126</v>
      </c>
      <c r="B8" s="51">
        <f>'Spur-Netback'!C37</f>
        <v>45413</v>
      </c>
      <c r="C8" s="44"/>
      <c r="E8" s="56" t="s">
        <v>128</v>
      </c>
      <c r="F8" s="57">
        <f>B9</f>
        <v>21147</v>
      </c>
      <c r="G8" s="45" t="s">
        <v>130</v>
      </c>
      <c r="I8" s="52" t="s">
        <v>176</v>
      </c>
      <c r="J8" s="53">
        <v>815</v>
      </c>
      <c r="K8" s="54">
        <f>Inputs!C14</f>
        <v>737</v>
      </c>
      <c r="L8" s="54">
        <f>Inputs!C18</f>
        <v>924.4</v>
      </c>
    </row>
    <row r="9" spans="1:18" ht="17.25" thickTop="1" thickBot="1" x14ac:dyDescent="0.3">
      <c r="A9" s="50" t="s">
        <v>174</v>
      </c>
      <c r="B9" s="55">
        <f>Inputs!C5</f>
        <v>21147</v>
      </c>
      <c r="C9" s="1" t="s">
        <v>129</v>
      </c>
      <c r="E9" s="56" t="s">
        <v>132</v>
      </c>
      <c r="F9" s="59">
        <f>B36</f>
        <v>19.324663269207779</v>
      </c>
      <c r="G9" s="45" t="s">
        <v>112</v>
      </c>
      <c r="I9" s="52" t="s">
        <v>177</v>
      </c>
      <c r="J9" s="58">
        <v>0.35</v>
      </c>
      <c r="K9" s="58">
        <v>0.1</v>
      </c>
      <c r="L9" s="58">
        <v>4</v>
      </c>
    </row>
    <row r="10" spans="1:18" ht="17.25" thickTop="1" thickBot="1" x14ac:dyDescent="0.3">
      <c r="A10" s="50" t="s">
        <v>175</v>
      </c>
      <c r="B10" s="121">
        <f>Inputs!C16</f>
        <v>965</v>
      </c>
      <c r="C10" s="1" t="s">
        <v>131</v>
      </c>
      <c r="E10" s="56" t="s">
        <v>134</v>
      </c>
      <c r="F10" s="61">
        <f>((F9/100)*B9)/(1-F9/100)</f>
        <v>5065.4719362077331</v>
      </c>
      <c r="G10" s="45" t="s">
        <v>130</v>
      </c>
      <c r="I10" s="52" t="s">
        <v>34</v>
      </c>
      <c r="J10" s="60">
        <f>_xlfn.XLOOKUP($B$8,MonthlyData!$B:$B,MonthlyData!$D:$D)</f>
        <v>78.62</v>
      </c>
      <c r="K10" s="60">
        <f>J10</f>
        <v>78.62</v>
      </c>
      <c r="L10" s="60">
        <f>J10</f>
        <v>78.62</v>
      </c>
    </row>
    <row r="11" spans="1:18" ht="17.25" thickTop="1" thickBot="1" x14ac:dyDescent="0.3">
      <c r="A11" s="50" t="s">
        <v>348</v>
      </c>
      <c r="B11" s="122">
        <f>K8</f>
        <v>737</v>
      </c>
      <c r="C11" s="1" t="s">
        <v>131</v>
      </c>
      <c r="E11" s="56" t="s">
        <v>136</v>
      </c>
      <c r="F11" s="57">
        <f>(B9+F10)*B37/100</f>
        <v>98.11907455789698</v>
      </c>
      <c r="G11" s="45" t="s">
        <v>130</v>
      </c>
      <c r="I11" s="52" t="s">
        <v>48</v>
      </c>
      <c r="J11" s="124">
        <f>_xlfn.XLOOKUP($B$8,MonthlyData!$B:$B,MonthlyData!$E:$E)</f>
        <v>1.3669500000000001</v>
      </c>
      <c r="K11" s="124">
        <f>J11</f>
        <v>1.3669500000000001</v>
      </c>
      <c r="L11" s="124">
        <f>K11</f>
        <v>1.3669500000000001</v>
      </c>
    </row>
    <row r="12" spans="1:18" ht="17.25" thickTop="1" thickBot="1" x14ac:dyDescent="0.3">
      <c r="A12" s="50" t="s">
        <v>135</v>
      </c>
      <c r="B12" s="55">
        <f>L8</f>
        <v>924.4</v>
      </c>
      <c r="C12" s="1" t="s">
        <v>131</v>
      </c>
      <c r="E12" s="56" t="s">
        <v>137</v>
      </c>
      <c r="F12" s="61">
        <f>B9+F10-F11</f>
        <v>26114.352861649837</v>
      </c>
      <c r="G12" s="45" t="s">
        <v>130</v>
      </c>
      <c r="I12" s="52" t="s">
        <v>178</v>
      </c>
      <c r="J12" s="60">
        <f>_xlfn.XLOOKUP($B$8,MonthlyData!$B:$B,MonthlyData!$F:$F)</f>
        <v>-3.78</v>
      </c>
      <c r="K12" s="60">
        <f>_xlfn.XLOOKUP($B$8,MonthlyData!$B:$B,MonthlyData!$M:$M)</f>
        <v>-4.1900000000000004</v>
      </c>
      <c r="L12" s="60">
        <f>_xlfn.XLOOKUP($B$8,MonthlyData!$B:$B,MonthlyData!$BP:$BP)</f>
        <v>-12.82</v>
      </c>
    </row>
    <row r="13" spans="1:18" ht="15.75" thickTop="1" x14ac:dyDescent="0.25">
      <c r="C13" s="62"/>
      <c r="I13" s="52" t="s">
        <v>179</v>
      </c>
      <c r="J13" s="60">
        <f>_xlfn.XLOOKUP($B$8,MonthlyData!$B:$B,MonthlyData!$G:$G)</f>
        <v>1.4999999999999999E-2</v>
      </c>
      <c r="K13" s="60">
        <f>_xlfn.XLOOKUP($B$8,MonthlyData!$B:$B,MonthlyData!$X:$X)</f>
        <v>-4.2699999999999996</v>
      </c>
      <c r="L13" s="60">
        <v>0</v>
      </c>
    </row>
    <row r="14" spans="1:18" ht="15.75" x14ac:dyDescent="0.25">
      <c r="A14" s="123" t="s">
        <v>183</v>
      </c>
      <c r="C14" s="62"/>
      <c r="E14" s="56"/>
      <c r="F14" s="63"/>
      <c r="G14" s="45"/>
      <c r="I14" s="52" t="s">
        <v>139</v>
      </c>
      <c r="J14" s="64">
        <f>J13+(J10+J12)*6.29287*J11</f>
        <v>643.79157230406008</v>
      </c>
      <c r="K14" s="64">
        <f>K13+(K10+K12)*6.29287*K11</f>
        <v>635.97973645899503</v>
      </c>
      <c r="L14" s="64">
        <f>L13+(L10+L12)*6.2898105*L11</f>
        <v>565.73895526375509</v>
      </c>
    </row>
    <row r="15" spans="1:18" x14ac:dyDescent="0.25">
      <c r="A15" s="123" t="s">
        <v>182</v>
      </c>
      <c r="B15" s="67"/>
      <c r="E15" t="s">
        <v>140</v>
      </c>
      <c r="F15" s="65">
        <f>F10-F11</f>
        <v>4967.3528616498361</v>
      </c>
      <c r="I15" s="52" t="s">
        <v>141</v>
      </c>
      <c r="J15" s="66">
        <f>IF(J8&gt;825,(825-J8)*0.49,IF(J8&lt;800,(J8-800)*0.49,0))+(0.5-J9)*13.8</f>
        <v>2.0700000000000003</v>
      </c>
      <c r="K15" s="66">
        <f>(750-K8)*$B$18+(0.2-$K$9)*13.8</f>
        <v>3.59</v>
      </c>
      <c r="L15" s="66">
        <v>0</v>
      </c>
    </row>
    <row r="16" spans="1:18" x14ac:dyDescent="0.25">
      <c r="A16" s="123" t="s">
        <v>181</v>
      </c>
      <c r="E16" t="s">
        <v>142</v>
      </c>
      <c r="F16" s="67">
        <f>F11/F10*100</f>
        <v>1.9370174347733895</v>
      </c>
      <c r="I16" s="52" t="s">
        <v>143</v>
      </c>
      <c r="J16" s="68"/>
      <c r="K16" s="68"/>
      <c r="L16" s="68"/>
    </row>
    <row r="17" spans="1:18" x14ac:dyDescent="0.25">
      <c r="E17" t="s">
        <v>144</v>
      </c>
      <c r="F17" s="36">
        <f>(F19-F12)/F19*100</f>
        <v>0.37432209673580391</v>
      </c>
      <c r="H17" s="69"/>
      <c r="I17" s="52" t="s">
        <v>145</v>
      </c>
      <c r="J17" s="68"/>
      <c r="K17" s="68"/>
      <c r="L17" s="68"/>
    </row>
    <row r="18" spans="1:18" x14ac:dyDescent="0.25">
      <c r="A18" s="70" t="s">
        <v>146</v>
      </c>
      <c r="B18" s="71">
        <f>_xlfn.XLOOKUP($B$8,MonthlyData!$B:$B,MonthlyData!$Y:$Y)</f>
        <v>0.17</v>
      </c>
      <c r="E18" t="s">
        <v>147</v>
      </c>
      <c r="F18" s="36">
        <f>(F19-F12)/F12*100</f>
        <v>0.37572853165352404</v>
      </c>
      <c r="H18" s="69"/>
      <c r="I18" s="52" t="s">
        <v>148</v>
      </c>
      <c r="J18" s="68"/>
      <c r="K18" s="68"/>
      <c r="L18" s="68"/>
    </row>
    <row r="19" spans="1:18" x14ac:dyDescent="0.25">
      <c r="A19" s="70" t="s">
        <v>335</v>
      </c>
      <c r="B19" s="72">
        <v>1.9699999999999999E-2</v>
      </c>
      <c r="D19" s="73" t="s">
        <v>149</v>
      </c>
      <c r="E19" t="s">
        <v>150</v>
      </c>
      <c r="F19" s="65">
        <f>F8+F10</f>
        <v>26212.471936207734</v>
      </c>
      <c r="H19" s="69"/>
      <c r="I19" s="74" t="s">
        <v>9</v>
      </c>
      <c r="J19" s="75">
        <f>SUM(J14:J18)</f>
        <v>645.86157230406013</v>
      </c>
      <c r="K19" s="75">
        <f>SUM(K14:K18)</f>
        <v>639.56973645899507</v>
      </c>
      <c r="L19" s="75">
        <f>SUM(L14:L18)</f>
        <v>565.73895526375509</v>
      </c>
    </row>
    <row r="20" spans="1:18" x14ac:dyDescent="0.25">
      <c r="A20" s="73"/>
      <c r="E20" t="s">
        <v>151</v>
      </c>
      <c r="F20" s="67">
        <f>F10/F8*100</f>
        <v>23.953619597142538</v>
      </c>
      <c r="G20" s="67"/>
    </row>
    <row r="21" spans="1:18" x14ac:dyDescent="0.25">
      <c r="E21" t="s">
        <v>152</v>
      </c>
      <c r="F21" s="67">
        <f>F10/F12*100</f>
        <v>19.397271542756162</v>
      </c>
      <c r="G21" s="67"/>
      <c r="H21" s="67"/>
    </row>
    <row r="22" spans="1:18" x14ac:dyDescent="0.25">
      <c r="F22" s="67"/>
      <c r="G22" s="67"/>
      <c r="H22" s="67"/>
    </row>
    <row r="23" spans="1:18" x14ac:dyDescent="0.25">
      <c r="I23" s="70"/>
    </row>
    <row r="24" spans="1:18" x14ac:dyDescent="0.25">
      <c r="A24" s="76" t="s">
        <v>153</v>
      </c>
    </row>
    <row r="25" spans="1:18" ht="15.75" x14ac:dyDescent="0.25">
      <c r="A25" s="50" t="s">
        <v>154</v>
      </c>
      <c r="B25" s="36"/>
      <c r="D25" s="77" t="s">
        <v>155</v>
      </c>
      <c r="E25" s="77" t="s">
        <v>156</v>
      </c>
    </row>
    <row r="26" spans="1:18" x14ac:dyDescent="0.25">
      <c r="A26" t="s">
        <v>132</v>
      </c>
      <c r="B26" s="36">
        <f>((B10-B12)/(B10-B11))*100</f>
        <v>17.807017543859661</v>
      </c>
      <c r="C26" t="s">
        <v>112</v>
      </c>
      <c r="D26" s="78">
        <f>(B26/100*$B$9)/(1-B26/100)</f>
        <v>4581.4738527214549</v>
      </c>
      <c r="E26" s="78">
        <f>(D26*$B$11+$B$9*$B$10)/(D26+$B$9)/(1-B27/100)</f>
        <v>927.6876441177476</v>
      </c>
      <c r="N26" s="45"/>
    </row>
    <row r="27" spans="1:18" x14ac:dyDescent="0.25">
      <c r="A27" t="s">
        <v>157</v>
      </c>
      <c r="B27" s="36">
        <f>(0.0266*B26)-(0.0004*(POWER(B26,2)))+(0.000001339*(POWER(B26,3)))</f>
        <v>0.35439128014625293</v>
      </c>
      <c r="C27" t="s">
        <v>112</v>
      </c>
      <c r="D27" s="78">
        <f>(B9/(1-B26/100))*(B26/100)</f>
        <v>4581.4738527214549</v>
      </c>
      <c r="E27" s="78"/>
      <c r="N27" s="79"/>
      <c r="O27" s="79"/>
      <c r="P27" s="79"/>
      <c r="Q27" s="79"/>
    </row>
    <row r="28" spans="1:18" x14ac:dyDescent="0.25">
      <c r="A28" t="s">
        <v>132</v>
      </c>
      <c r="B28" s="36">
        <f>(((($B$10-$B$12)/($B$10-$B$11))+((B27/100)*$B$12)/($B$10-$B$11)))*100</f>
        <v>19.243856576171925</v>
      </c>
      <c r="C28" t="s">
        <v>112</v>
      </c>
      <c r="D28" s="78">
        <f>(B28/100*$B$9)/(1-B28/100)</f>
        <v>5039.2430564760252</v>
      </c>
      <c r="E28" s="78">
        <f>(D28*$B$11+$B$9*$B$10)/(D28+$B$9)/(1-B29/100)</f>
        <v>924.57543381500932</v>
      </c>
      <c r="N28" s="80"/>
      <c r="O28" s="79"/>
      <c r="P28" s="79"/>
      <c r="Q28" s="79"/>
      <c r="R28" s="79"/>
    </row>
    <row r="29" spans="1:18" x14ac:dyDescent="0.25">
      <c r="A29" t="s">
        <v>157</v>
      </c>
      <c r="B29" s="36">
        <f>(0.0266*B28)-(0.0004*(POWER(B28,2)))+(0.000001339*(POWER(B28,3)))</f>
        <v>0.37329856304313452</v>
      </c>
      <c r="C29" t="s">
        <v>112</v>
      </c>
      <c r="D29" s="78"/>
      <c r="E29" s="78"/>
      <c r="N29" s="80"/>
      <c r="O29" s="81"/>
      <c r="P29" s="81"/>
      <c r="Q29" s="81"/>
      <c r="R29" s="81"/>
    </row>
    <row r="30" spans="1:18" x14ac:dyDescent="0.25">
      <c r="A30" t="s">
        <v>132</v>
      </c>
      <c r="B30" s="36">
        <f>(((($B$10-$B$12)/($B$10-$B$11))+((B29/100)*$B$12)/($B$10-$B$11)))*100</f>
        <v>19.320513998583667</v>
      </c>
      <c r="C30" t="s">
        <v>112</v>
      </c>
      <c r="D30" s="78">
        <f>(B30/100*$B$9)/(1-B30/100)</f>
        <v>5064.123853254051</v>
      </c>
      <c r="E30" s="78">
        <f>(D30*$B$11+$B$9*$B$10)/(D30+$B$9)/(1-B31/100)</f>
        <v>924.40901038434606</v>
      </c>
      <c r="N30" s="80"/>
      <c r="O30" s="81"/>
      <c r="P30" s="81"/>
      <c r="Q30" s="81"/>
      <c r="R30" s="81"/>
    </row>
    <row r="31" spans="1:18" x14ac:dyDescent="0.25">
      <c r="A31" t="s">
        <v>157</v>
      </c>
      <c r="B31" s="36">
        <f>(0.0266*B30)-(0.0004*(POWER(B30,2)))+(0.000001339*(POWER(B30,3)))</f>
        <v>0.37426964279353209</v>
      </c>
      <c r="C31" t="s">
        <v>112</v>
      </c>
      <c r="D31" s="78"/>
      <c r="E31" s="78"/>
      <c r="N31" s="80"/>
      <c r="O31" s="819"/>
      <c r="P31" s="819"/>
      <c r="Q31" s="819"/>
      <c r="R31" s="82"/>
    </row>
    <row r="32" spans="1:18" x14ac:dyDescent="0.25">
      <c r="A32" t="s">
        <v>132</v>
      </c>
      <c r="B32" s="36">
        <f>(((($B$10-$B$12)/($B$10-$B$11))+((B31/100)*$B$12)/($B$10-$B$11)))*100</f>
        <v>19.324451130694488</v>
      </c>
      <c r="C32" t="s">
        <v>112</v>
      </c>
      <c r="D32" s="78">
        <f>(B32/100*$B$9)/(1-B32/100)</f>
        <v>5065.4030098117655</v>
      </c>
      <c r="E32" s="78">
        <f>(D32*$B$11+$B$9*$B$10)/(D32+$B$9)/(1-B33/100)</f>
        <v>924.40046182490062</v>
      </c>
      <c r="N32" s="80"/>
      <c r="O32" s="81"/>
      <c r="P32" s="81"/>
      <c r="Q32" s="81"/>
      <c r="R32" s="81"/>
    </row>
    <row r="33" spans="1:19" x14ac:dyDescent="0.25">
      <c r="A33" t="s">
        <v>157</v>
      </c>
      <c r="B33" s="36">
        <f>(0.0266*B32)-(0.0004*(POWER(B32,2)))+(0.000001339*(POWER(B32,3)))</f>
        <v>0.37431941520810419</v>
      </c>
      <c r="C33" t="s">
        <v>112</v>
      </c>
      <c r="D33" s="78"/>
      <c r="E33" s="78"/>
      <c r="N33" s="80"/>
      <c r="O33" s="81"/>
      <c r="P33" s="81"/>
      <c r="Q33" s="81"/>
      <c r="R33" s="81"/>
    </row>
    <row r="34" spans="1:19" x14ac:dyDescent="0.25">
      <c r="A34" t="s">
        <v>132</v>
      </c>
      <c r="B34" s="36">
        <f>(((($B$10-$B$12)/($B$10-$B$11))+((B33/100)*$B$12)/($B$10-$B$11)))*100</f>
        <v>19.324652927273569</v>
      </c>
      <c r="C34" t="s">
        <v>112</v>
      </c>
      <c r="D34" s="78">
        <f>(B34/100*$B$9)/(1-B34/100)</f>
        <v>5065.4685759784916</v>
      </c>
      <c r="E34" s="78">
        <f>(D34*$B$11+$B$9*$B$10)/(D34+$B$9)/(1-B35/100)</f>
        <v>924.40002366820522</v>
      </c>
    </row>
    <row r="35" spans="1:19" x14ac:dyDescent="0.25">
      <c r="A35" t="s">
        <v>157</v>
      </c>
      <c r="B35" s="36">
        <f>(0.0266*B34)-(0.0004*(POWER(B34,2)))+(0.000001339*(POWER(B34,3)))</f>
        <v>0.3743219660097048</v>
      </c>
      <c r="C35" t="s">
        <v>112</v>
      </c>
      <c r="D35" s="78"/>
      <c r="E35" s="78"/>
      <c r="L35" s="83"/>
      <c r="N35" s="83"/>
    </row>
    <row r="36" spans="1:19" x14ac:dyDescent="0.25">
      <c r="A36" t="s">
        <v>132</v>
      </c>
      <c r="B36" s="36">
        <f>(((($B$10-$B$12)/($B$10-$B$11))+((B35/100)*$B$12)/($B$10-$B$11)))*100</f>
        <v>19.324663269207779</v>
      </c>
      <c r="C36" t="s">
        <v>112</v>
      </c>
      <c r="D36" s="78">
        <f>(B36/100*$B$9)/(1-B36/100)</f>
        <v>5065.4719362077331</v>
      </c>
      <c r="E36" s="78">
        <f>(D36*$B$11+$B$9*$B$10)/(D36+$B$9)/(1-B37/100)</f>
        <v>924.40000121297248</v>
      </c>
    </row>
    <row r="37" spans="1:19" x14ac:dyDescent="0.25">
      <c r="A37" t="s">
        <v>157</v>
      </c>
      <c r="B37" s="36">
        <f>(0.0266*B36)-(0.0004*(POWER(B36,2)))+(0.000001339*(POWER(B36,3)))</f>
        <v>0.37432209673580397</v>
      </c>
      <c r="C37" t="s">
        <v>112</v>
      </c>
      <c r="D37" s="78"/>
    </row>
    <row r="38" spans="1:19" x14ac:dyDescent="0.25">
      <c r="B38" s="36"/>
      <c r="C38" s="36"/>
    </row>
    <row r="39" spans="1:19" x14ac:dyDescent="0.25">
      <c r="A39" s="84" t="s">
        <v>158</v>
      </c>
      <c r="B39" s="36"/>
      <c r="C39" s="36"/>
      <c r="E39">
        <f>1/1.3378</f>
        <v>0.74749588877261175</v>
      </c>
    </row>
    <row r="40" spans="1:19" x14ac:dyDescent="0.25">
      <c r="A40" s="84"/>
      <c r="B40" s="36"/>
      <c r="C40" s="36"/>
    </row>
    <row r="41" spans="1:19" ht="15.75" x14ac:dyDescent="0.25">
      <c r="A41" s="85" t="s">
        <v>159</v>
      </c>
      <c r="B41" s="86">
        <f>$K$19</f>
        <v>639.56973645899507</v>
      </c>
      <c r="C41" s="87" t="s">
        <v>111</v>
      </c>
      <c r="D41" s="76"/>
      <c r="E41" s="76"/>
      <c r="F41" s="76"/>
      <c r="G41" s="76"/>
      <c r="H41" s="88"/>
      <c r="M41" s="89"/>
    </row>
    <row r="42" spans="1:19" ht="15.75" x14ac:dyDescent="0.25">
      <c r="A42" s="90" t="s">
        <v>352</v>
      </c>
      <c r="B42" s="91">
        <v>17.5</v>
      </c>
      <c r="C42" s="87" t="s">
        <v>111</v>
      </c>
      <c r="D42" s="76"/>
      <c r="E42" s="76"/>
      <c r="F42" s="76"/>
      <c r="G42" s="76"/>
      <c r="H42" s="88"/>
      <c r="M42" s="92"/>
      <c r="N42" s="93"/>
    </row>
    <row r="43" spans="1:19" ht="15.75" x14ac:dyDescent="0.25">
      <c r="A43" s="90" t="s">
        <v>188</v>
      </c>
      <c r="B43" s="91">
        <v>3.47</v>
      </c>
      <c r="C43" s="87" t="s">
        <v>111</v>
      </c>
      <c r="D43" s="94"/>
      <c r="E43" s="95"/>
      <c r="F43" s="96"/>
      <c r="G43" s="97"/>
      <c r="H43" s="88"/>
      <c r="I43" s="98"/>
      <c r="S43" s="93"/>
    </row>
    <row r="44" spans="1:19" ht="15.75" x14ac:dyDescent="0.25">
      <c r="A44" s="85" t="s">
        <v>160</v>
      </c>
      <c r="B44" s="99">
        <f>SUM(B41:B43)</f>
        <v>660.53973645899509</v>
      </c>
      <c r="C44" s="87" t="s">
        <v>111</v>
      </c>
      <c r="D44" s="100"/>
      <c r="E44" s="95"/>
      <c r="F44" s="96"/>
      <c r="G44" s="97"/>
      <c r="H44" s="88"/>
    </row>
    <row r="45" spans="1:19" ht="15.75" x14ac:dyDescent="0.25">
      <c r="A45" s="85"/>
      <c r="B45" s="99"/>
      <c r="C45" s="1"/>
      <c r="D45" s="100"/>
      <c r="E45" s="95"/>
      <c r="F45" s="96"/>
      <c r="G45" s="97"/>
      <c r="H45" s="88"/>
    </row>
    <row r="46" spans="1:19" ht="15.75" x14ac:dyDescent="0.25">
      <c r="A46" s="40" t="s">
        <v>161</v>
      </c>
      <c r="B46" s="86">
        <f>$L$19</f>
        <v>565.73895526375509</v>
      </c>
      <c r="C46" s="87" t="s">
        <v>111</v>
      </c>
      <c r="D46" s="100"/>
      <c r="E46" s="100"/>
      <c r="F46" s="100"/>
      <c r="G46" s="100"/>
      <c r="H46" s="100"/>
    </row>
    <row r="47" spans="1:19" x14ac:dyDescent="0.25">
      <c r="A47" s="101" t="s">
        <v>162</v>
      </c>
      <c r="B47" s="91">
        <v>-5</v>
      </c>
      <c r="C47" s="87" t="s">
        <v>111</v>
      </c>
      <c r="D47" s="94"/>
      <c r="F47" s="102"/>
    </row>
    <row r="48" spans="1:19" x14ac:dyDescent="0.25">
      <c r="A48" s="101" t="s">
        <v>163</v>
      </c>
      <c r="B48" s="91">
        <v>-17.5</v>
      </c>
      <c r="C48" s="87" t="s">
        <v>111</v>
      </c>
      <c r="D48" s="94"/>
      <c r="F48" s="102"/>
    </row>
    <row r="49" spans="1:9" x14ac:dyDescent="0.25">
      <c r="A49" s="101" t="s">
        <v>164</v>
      </c>
      <c r="B49" s="86">
        <f>($L$19-$J$19)*$B$19</f>
        <v>-1.5784155556940094</v>
      </c>
      <c r="C49" s="87" t="s">
        <v>111</v>
      </c>
      <c r="D49" s="94"/>
      <c r="F49" s="102"/>
    </row>
    <row r="50" spans="1:9" x14ac:dyDescent="0.25">
      <c r="A50" s="40" t="s">
        <v>350</v>
      </c>
      <c r="B50" s="86">
        <f>SUM(B46:B49)</f>
        <v>541.66053970806104</v>
      </c>
      <c r="C50" s="87" t="s">
        <v>111</v>
      </c>
      <c r="D50" s="70"/>
      <c r="E50" s="79"/>
      <c r="G50" s="79"/>
    </row>
    <row r="51" spans="1:9" ht="16.5" thickBot="1" x14ac:dyDescent="0.3">
      <c r="A51" s="40"/>
      <c r="B51" s="99"/>
      <c r="D51" s="103"/>
      <c r="E51" s="104"/>
      <c r="F51" s="105"/>
      <c r="G51" s="104"/>
      <c r="H51" s="105"/>
    </row>
    <row r="52" spans="1:9" ht="15.75" x14ac:dyDescent="0.25">
      <c r="A52" s="40" t="s">
        <v>165</v>
      </c>
      <c r="B52" s="86">
        <f>B50*F12</f>
        <v>14145114.465167999</v>
      </c>
      <c r="C52" s="1" t="s">
        <v>166</v>
      </c>
      <c r="D52" s="106">
        <f>+B50*(F11/B9)</f>
        <v>2.5132279226692185</v>
      </c>
      <c r="E52" s="107" t="s">
        <v>25</v>
      </c>
      <c r="F52" s="105"/>
      <c r="G52" s="104"/>
      <c r="H52" s="105"/>
    </row>
    <row r="53" spans="1:9" ht="16.5" thickBot="1" x14ac:dyDescent="0.3">
      <c r="A53" s="40" t="s">
        <v>167</v>
      </c>
      <c r="B53" s="86">
        <f>F10*B44</f>
        <v>3345945.4977830914</v>
      </c>
      <c r="C53" s="1" t="s">
        <v>166</v>
      </c>
      <c r="D53" s="108">
        <f>+(B44-B50)*F10/F8</f>
        <v>28.475870569857381</v>
      </c>
      <c r="E53" s="109" t="s">
        <v>168</v>
      </c>
      <c r="F53" s="105"/>
      <c r="G53" s="110"/>
      <c r="H53" s="105"/>
    </row>
    <row r="54" spans="1:9" ht="15.75" x14ac:dyDescent="0.25">
      <c r="A54" s="40" t="s">
        <v>169</v>
      </c>
      <c r="B54" s="86">
        <f>(B52-B53)/B9</f>
        <v>510.67144121553451</v>
      </c>
      <c r="C54" s="1" t="s">
        <v>111</v>
      </c>
      <c r="D54" s="103"/>
      <c r="E54" s="104"/>
      <c r="F54" s="105"/>
      <c r="G54" s="110"/>
      <c r="H54" s="105"/>
    </row>
    <row r="55" spans="1:9" ht="15.75" x14ac:dyDescent="0.25">
      <c r="A55" s="85" t="s">
        <v>170</v>
      </c>
      <c r="B55" s="86">
        <f>-0.15%*B46</f>
        <v>-0.8486084328956327</v>
      </c>
      <c r="C55" s="1" t="s">
        <v>111</v>
      </c>
      <c r="D55" s="103"/>
      <c r="E55" s="104"/>
      <c r="F55" s="105"/>
      <c r="G55" s="110"/>
      <c r="H55" s="105"/>
    </row>
    <row r="56" spans="1:9" ht="15.75" x14ac:dyDescent="0.25">
      <c r="A56" s="70"/>
      <c r="B56" s="99"/>
      <c r="C56" s="1"/>
      <c r="D56" s="111"/>
      <c r="E56" s="73"/>
      <c r="F56" s="112"/>
      <c r="H56" s="112"/>
    </row>
    <row r="57" spans="1:9" ht="18" x14ac:dyDescent="0.25">
      <c r="A57" s="113" t="s">
        <v>171</v>
      </c>
      <c r="B57" s="114">
        <f>SUM(B54:B55)</f>
        <v>509.8228327826389</v>
      </c>
      <c r="C57" s="1" t="s">
        <v>111</v>
      </c>
      <c r="F57" s="115"/>
      <c r="H57" s="115"/>
    </row>
    <row r="58" spans="1:9" ht="15.75" x14ac:dyDescent="0.25">
      <c r="B58" s="116">
        <f>B57/6.29287/$J$11</f>
        <v>59.267675226043742</v>
      </c>
      <c r="C58" s="1" t="s">
        <v>109</v>
      </c>
      <c r="D58" s="117"/>
      <c r="E58" s="73"/>
      <c r="F58" s="115"/>
      <c r="H58" s="115"/>
      <c r="I58" s="73"/>
    </row>
    <row r="59" spans="1:9" ht="15.75" x14ac:dyDescent="0.25">
      <c r="B59" s="116">
        <f>B58-$J$10</f>
        <v>-19.352324773956262</v>
      </c>
      <c r="C59" s="1" t="s">
        <v>172</v>
      </c>
      <c r="D59" s="117"/>
      <c r="F59" s="111"/>
      <c r="H59" s="111"/>
    </row>
    <row r="60" spans="1:9" ht="16.5" customHeight="1" x14ac:dyDescent="0.25">
      <c r="B60" s="1"/>
      <c r="C60" s="1"/>
      <c r="D60" s="111"/>
      <c r="F60" s="111"/>
      <c r="H60" s="111"/>
    </row>
    <row r="61" spans="1:9" x14ac:dyDescent="0.25">
      <c r="A61" s="79" t="s">
        <v>346</v>
      </c>
      <c r="B61" s="118">
        <f>-(B46-(B57-B49-B48-B47-B55))</f>
        <v>-30.989098492526637</v>
      </c>
      <c r="C61" s="119" t="s">
        <v>111</v>
      </c>
      <c r="D61" s="79"/>
    </row>
    <row r="62" spans="1:9" x14ac:dyDescent="0.25">
      <c r="A62" s="79" t="s">
        <v>347</v>
      </c>
      <c r="B62" s="120">
        <f>(B61*F8)/F12</f>
        <v>-25.094493794017723</v>
      </c>
      <c r="C62" s="119" t="s">
        <v>111</v>
      </c>
      <c r="D62" s="120"/>
      <c r="E62" s="76"/>
    </row>
    <row r="63" spans="1:9" x14ac:dyDescent="0.25">
      <c r="A63" s="764" t="s">
        <v>440</v>
      </c>
      <c r="B63" s="9">
        <f>-(B44*F10)/F12</f>
        <v>-128.12668632875719</v>
      </c>
      <c r="C63" s="119" t="s">
        <v>111</v>
      </c>
    </row>
    <row r="64" spans="1:9" x14ac:dyDescent="0.25">
      <c r="B64" s="36"/>
      <c r="C64" s="36"/>
    </row>
    <row r="65" spans="2:3" x14ac:dyDescent="0.25">
      <c r="B65" s="36"/>
      <c r="C65" s="36"/>
    </row>
    <row r="66" spans="2:3" x14ac:dyDescent="0.25">
      <c r="B66" s="36"/>
      <c r="C66" s="36"/>
    </row>
    <row r="67" spans="2:3" x14ac:dyDescent="0.25">
      <c r="B67" s="36"/>
      <c r="C67" s="36"/>
    </row>
    <row r="68" spans="2:3" x14ac:dyDescent="0.25">
      <c r="B68" s="36"/>
      <c r="C68" s="36"/>
    </row>
    <row r="69" spans="2:3" x14ac:dyDescent="0.25">
      <c r="B69" s="36"/>
      <c r="C69" s="36"/>
    </row>
    <row r="70" spans="2:3" x14ac:dyDescent="0.25">
      <c r="B70" s="36"/>
      <c r="C70" s="36"/>
    </row>
    <row r="71" spans="2:3" x14ac:dyDescent="0.25">
      <c r="B71" s="36"/>
      <c r="C71" s="36"/>
    </row>
  </sheetData>
  <mergeCells count="2">
    <mergeCell ref="A3:G3"/>
    <mergeCell ref="O31:Q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3125-5B62-4114-B52E-0FF433FB2112}">
  <dimension ref="A1:Y136"/>
  <sheetViews>
    <sheetView topLeftCell="A102" zoomScale="85" zoomScaleNormal="85" workbookViewId="0">
      <selection activeCell="G126" sqref="G126"/>
    </sheetView>
  </sheetViews>
  <sheetFormatPr defaultColWidth="9.140625" defaultRowHeight="12.75" x14ac:dyDescent="0.2"/>
  <cols>
    <col min="1" max="1" width="32.28515625" style="364" customWidth="1"/>
    <col min="2" max="2" width="16.140625" style="364" customWidth="1"/>
    <col min="3" max="4" width="19.42578125" style="364" customWidth="1"/>
    <col min="5" max="5" width="23.140625" style="364" customWidth="1"/>
    <col min="6" max="11" width="19.42578125" style="364" customWidth="1"/>
    <col min="12" max="12" width="17.140625" style="364" customWidth="1"/>
    <col min="13" max="13" width="2.7109375" style="364" customWidth="1"/>
    <col min="14" max="14" width="23.140625" style="366" customWidth="1"/>
    <col min="15" max="17" width="20" style="364" customWidth="1"/>
    <col min="18" max="18" width="20.28515625" style="364" customWidth="1"/>
    <col min="19" max="19" width="12.85546875" style="364" customWidth="1"/>
    <col min="20" max="21" width="9.85546875" style="364" customWidth="1"/>
    <col min="22" max="22" width="9.140625" style="364"/>
    <col min="23" max="23" width="14.85546875" style="364" customWidth="1"/>
    <col min="24" max="24" width="13.7109375" style="364" customWidth="1"/>
    <col min="25" max="16384" width="9.140625" style="364"/>
  </cols>
  <sheetData>
    <row r="1" spans="1:17" ht="26.25" x14ac:dyDescent="0.4">
      <c r="A1" s="363" t="s">
        <v>376</v>
      </c>
      <c r="F1" s="365"/>
      <c r="K1" s="678"/>
      <c r="L1" s="679"/>
    </row>
    <row r="2" spans="1:17" ht="26.25" x14ac:dyDescent="0.4">
      <c r="A2" s="363"/>
      <c r="K2" s="680"/>
      <c r="L2" s="681"/>
    </row>
    <row r="3" spans="1:17" ht="27" thickBot="1" x14ac:dyDescent="0.45">
      <c r="K3" s="680"/>
      <c r="L3" s="682"/>
    </row>
    <row r="4" spans="1:17" ht="13.5" customHeight="1" thickBot="1" x14ac:dyDescent="0.25">
      <c r="A4" s="367" t="s">
        <v>190</v>
      </c>
      <c r="B4" s="368"/>
      <c r="C4" s="369" t="s">
        <v>138</v>
      </c>
      <c r="D4" s="369" t="s">
        <v>191</v>
      </c>
      <c r="E4" s="370" t="s">
        <v>192</v>
      </c>
      <c r="F4" s="371"/>
      <c r="G4" s="371"/>
      <c r="H4" s="371"/>
      <c r="I4" s="371"/>
      <c r="J4" s="371"/>
      <c r="K4" s="371"/>
      <c r="L4" s="372"/>
    </row>
    <row r="5" spans="1:17" ht="13.5" customHeight="1" thickBot="1" x14ac:dyDescent="0.25">
      <c r="A5" s="643" t="s">
        <v>193</v>
      </c>
      <c r="B5" s="644">
        <f>'Spur-Netback'!C37</f>
        <v>45413</v>
      </c>
      <c r="C5" s="373" t="s">
        <v>194</v>
      </c>
      <c r="D5" s="373" t="s">
        <v>194</v>
      </c>
      <c r="E5" s="373" t="s">
        <v>194</v>
      </c>
      <c r="G5" s="374">
        <f>B5</f>
        <v>45413</v>
      </c>
      <c r="H5" s="662" t="s">
        <v>195</v>
      </c>
      <c r="I5" s="663" t="s">
        <v>196</v>
      </c>
      <c r="J5" s="663" t="s">
        <v>197</v>
      </c>
      <c r="K5" s="663" t="s">
        <v>198</v>
      </c>
      <c r="L5" s="664" t="s">
        <v>199</v>
      </c>
      <c r="P5" s="375"/>
      <c r="Q5" s="375"/>
    </row>
    <row r="6" spans="1:17" x14ac:dyDescent="0.2">
      <c r="A6" s="643" t="s">
        <v>200</v>
      </c>
      <c r="B6" s="645">
        <f>_xlfn.XLOOKUP($B$5,MonthlyData!$B:$B,MonthlyData!$D:$D)</f>
        <v>78.62</v>
      </c>
      <c r="C6" s="646"/>
      <c r="D6" s="646"/>
      <c r="E6" s="376"/>
      <c r="G6" s="377"/>
      <c r="H6" s="378" t="s">
        <v>201</v>
      </c>
      <c r="I6" s="655">
        <f>_xlfn.XLOOKUP($B$5,MonthlyData!$B:$B,MonthlyData!$Z:$Z)</f>
        <v>636.91</v>
      </c>
      <c r="J6" s="45" t="s">
        <v>202</v>
      </c>
      <c r="K6" s="379">
        <v>0</v>
      </c>
      <c r="L6" s="656">
        <v>0</v>
      </c>
      <c r="P6" s="375"/>
      <c r="Q6" s="375"/>
    </row>
    <row r="7" spans="1:17" x14ac:dyDescent="0.2">
      <c r="A7" s="647" t="s">
        <v>203</v>
      </c>
      <c r="B7" s="758">
        <f>_xlfn.XLOOKUP($B$5,MonthlyData!$B:$B,MonthlyData!$E:$E)</f>
        <v>1.3669500000000001</v>
      </c>
      <c r="C7" s="648"/>
      <c r="D7" s="648"/>
      <c r="E7" s="380"/>
      <c r="G7" s="377"/>
      <c r="H7" s="378" t="s">
        <v>204</v>
      </c>
      <c r="I7" s="381">
        <v>0</v>
      </c>
      <c r="J7" s="45" t="s">
        <v>205</v>
      </c>
      <c r="K7" s="379">
        <f>ROUND(I6-I8,2)</f>
        <v>636.91</v>
      </c>
      <c r="L7" s="656">
        <f>ROUND(K7/1000,6)</f>
        <v>0.63690999999999998</v>
      </c>
      <c r="P7" s="375"/>
      <c r="Q7" s="375"/>
    </row>
    <row r="8" spans="1:17" x14ac:dyDescent="0.2">
      <c r="A8" s="647" t="s">
        <v>326</v>
      </c>
      <c r="B8" s="649">
        <f>_xlfn.XLOOKUP($B$5,MonthlyData!$B:$B,MonthlyData!$BP:$BP)</f>
        <v>-12.82</v>
      </c>
      <c r="C8" s="650"/>
      <c r="D8" s="651"/>
      <c r="E8" s="382">
        <f>(B6+B8)*6.2898105*B7</f>
        <v>565.73895526375509</v>
      </c>
      <c r="G8" s="377"/>
      <c r="H8" s="378" t="s">
        <v>206</v>
      </c>
      <c r="I8" s="379">
        <f>ROUND(I7/2,2)</f>
        <v>0</v>
      </c>
      <c r="J8" s="45" t="s">
        <v>207</v>
      </c>
      <c r="K8" s="379">
        <f>ROUND(I6,2)</f>
        <v>636.91</v>
      </c>
      <c r="L8" s="656">
        <f>ROUND(K8/1000,6)</f>
        <v>0.63690999999999998</v>
      </c>
      <c r="P8" s="375"/>
      <c r="Q8" s="375"/>
    </row>
    <row r="9" spans="1:17" x14ac:dyDescent="0.2">
      <c r="A9" s="647" t="s">
        <v>208</v>
      </c>
      <c r="B9" s="649">
        <f>_xlfn.XLOOKUP($B$5,MonthlyData!$B:$B,MonthlyData!$M:$M)</f>
        <v>-4.1900000000000004</v>
      </c>
      <c r="C9" s="652">
        <f>_xlfn.XLOOKUP($B$5,MonthlyData!$B:$B,MonthlyData!$X:$X)</f>
        <v>-4.2699999999999996</v>
      </c>
      <c r="D9" s="652">
        <f>(($B$6+B9)*6.29287*$B$7)+C9</f>
        <v>635.97973645899503</v>
      </c>
      <c r="E9" s="383">
        <f>D9-C9</f>
        <v>640.24973645899502</v>
      </c>
      <c r="G9" s="377"/>
      <c r="H9" s="77" t="s">
        <v>209</v>
      </c>
      <c r="I9" s="657">
        <f>_xlfn.XLOOKUP($B$5,MonthlyData!$B:$B,MonthlyData!$Y:$Y)</f>
        <v>0.17</v>
      </c>
      <c r="J9" s="384" t="s">
        <v>210</v>
      </c>
      <c r="K9" s="379"/>
      <c r="L9" s="385" t="s">
        <v>211</v>
      </c>
      <c r="P9" s="375"/>
      <c r="Q9" s="375"/>
    </row>
    <row r="10" spans="1:17" x14ac:dyDescent="0.2">
      <c r="A10" s="647" t="s">
        <v>212</v>
      </c>
      <c r="B10" s="653">
        <f>_xlfn.XLOOKUP($B$5,MonthlyData!$B:$B,MonthlyData!$AM:$AM)*Inputs!C28</f>
        <v>0.52249999999999996</v>
      </c>
      <c r="E10" s="382">
        <f>(B6*B10)*6.29287*B7+D10</f>
        <v>353.36271545764117</v>
      </c>
      <c r="G10" s="377"/>
      <c r="H10" s="77" t="s">
        <v>213</v>
      </c>
      <c r="I10" s="386">
        <f>I13</f>
        <v>1.38</v>
      </c>
      <c r="J10" s="387" t="s">
        <v>214</v>
      </c>
      <c r="K10" s="388"/>
      <c r="L10" s="389" t="s">
        <v>215</v>
      </c>
      <c r="P10" s="375"/>
      <c r="Q10" s="375"/>
    </row>
    <row r="11" spans="1:17" x14ac:dyDescent="0.2">
      <c r="A11" s="647" t="s">
        <v>216</v>
      </c>
      <c r="B11" s="592">
        <f>B10</f>
        <v>0.52249999999999996</v>
      </c>
      <c r="C11" s="400"/>
      <c r="G11" s="377"/>
      <c r="H11" s="390" t="s">
        <v>217</v>
      </c>
      <c r="I11" s="391"/>
      <c r="J11" s="391"/>
      <c r="K11" s="391"/>
      <c r="L11" s="392"/>
      <c r="P11" s="375"/>
      <c r="Q11" s="375"/>
    </row>
    <row r="12" spans="1:17" ht="12.75" customHeight="1" x14ac:dyDescent="0.2">
      <c r="A12" s="647" t="s">
        <v>218</v>
      </c>
      <c r="B12" s="755">
        <f>1-B11</f>
        <v>0.47750000000000004</v>
      </c>
      <c r="C12" s="400" t="s">
        <v>219</v>
      </c>
      <c r="G12" s="377"/>
      <c r="H12" s="378" t="s">
        <v>220</v>
      </c>
      <c r="I12" s="393">
        <v>0.49</v>
      </c>
      <c r="J12" s="384" t="s">
        <v>210</v>
      </c>
      <c r="K12" s="394" t="s">
        <v>221</v>
      </c>
      <c r="L12" s="658">
        <f>_xlfn.XLOOKUP($B$5,MonthlyData!$B:$B,MonthlyData!$AE:$AE)</f>
        <v>0</v>
      </c>
      <c r="P12" s="375"/>
      <c r="Q12" s="375"/>
    </row>
    <row r="13" spans="1:17" ht="12.75" customHeight="1" x14ac:dyDescent="0.2">
      <c r="A13" s="647" t="s">
        <v>222</v>
      </c>
      <c r="B13" s="561">
        <f>B6*B11</f>
        <v>41.078949999999999</v>
      </c>
      <c r="C13" s="400"/>
      <c r="D13" s="654"/>
      <c r="G13" s="395"/>
      <c r="H13" s="396" t="s">
        <v>213</v>
      </c>
      <c r="I13" s="393">
        <v>1.38</v>
      </c>
      <c r="J13" s="387" t="s">
        <v>214</v>
      </c>
      <c r="K13" s="397" t="s">
        <v>223</v>
      </c>
      <c r="L13" s="659">
        <f>_xlfn.XLOOKUP($B$5,MonthlyData!$B:$B,MonthlyData!$AF:$AF)</f>
        <v>0</v>
      </c>
      <c r="P13" s="375"/>
      <c r="Q13" s="375"/>
    </row>
    <row r="14" spans="1:17" x14ac:dyDescent="0.2">
      <c r="A14" s="647" t="s">
        <v>224</v>
      </c>
      <c r="B14" s="561">
        <f>B13-B6</f>
        <v>-37.541050000000006</v>
      </c>
      <c r="C14" s="400"/>
      <c r="D14" s="398" t="s">
        <v>225</v>
      </c>
      <c r="E14" s="399">
        <f>E10-I15</f>
        <v>-304.9449510013539</v>
      </c>
      <c r="H14" s="373" t="s">
        <v>226</v>
      </c>
      <c r="I14" s="401">
        <f>(750-$L$14)*$I$9+(0.2-$L$15)*$I$10*10</f>
        <v>18.057929999999999</v>
      </c>
      <c r="K14" s="398" t="s">
        <v>227</v>
      </c>
      <c r="L14" s="660">
        <f>Inputs!C7</f>
        <v>660</v>
      </c>
      <c r="P14" s="375"/>
      <c r="Q14" s="375"/>
    </row>
    <row r="15" spans="1:17" ht="13.5" customHeight="1" thickBot="1" x14ac:dyDescent="0.25">
      <c r="A15" s="402"/>
      <c r="B15" s="403"/>
      <c r="C15" s="403"/>
      <c r="D15" s="403"/>
      <c r="E15" s="403"/>
      <c r="F15" s="403"/>
      <c r="G15" s="403"/>
      <c r="H15" s="404" t="s">
        <v>228</v>
      </c>
      <c r="I15" s="405">
        <f>E9+I14</f>
        <v>658.30766645899507</v>
      </c>
      <c r="J15" s="403"/>
      <c r="K15" s="404" t="s">
        <v>229</v>
      </c>
      <c r="L15" s="661">
        <f>Inputs!C8</f>
        <v>1.4999999999999999E-4</v>
      </c>
      <c r="P15" s="375"/>
      <c r="Q15" s="375"/>
    </row>
    <row r="16" spans="1:17" ht="13.5" customHeight="1" x14ac:dyDescent="0.2">
      <c r="A16" s="406"/>
      <c r="B16" s="406"/>
      <c r="C16" s="406"/>
      <c r="D16" s="406"/>
      <c r="E16" s="406"/>
      <c r="F16" s="406"/>
      <c r="G16" s="406"/>
      <c r="H16" s="406"/>
      <c r="I16" s="406"/>
      <c r="J16" s="406"/>
      <c r="K16" s="406"/>
      <c r="L16" s="406"/>
      <c r="P16" s="375"/>
      <c r="Q16" s="375"/>
    </row>
    <row r="17" spans="1:25" ht="13.5" customHeight="1" thickBot="1" x14ac:dyDescent="0.25">
      <c r="A17" s="407"/>
      <c r="B17" s="408"/>
      <c r="C17" s="409"/>
      <c r="D17" s="409"/>
      <c r="E17" s="410"/>
      <c r="F17" s="411"/>
      <c r="G17" s="406"/>
      <c r="H17" s="406"/>
      <c r="I17" s="406"/>
      <c r="J17" s="406"/>
      <c r="K17" s="406"/>
      <c r="L17" s="406"/>
      <c r="P17" s="375"/>
      <c r="Q17" s="375"/>
    </row>
    <row r="18" spans="1:25" ht="27.75" thickTop="1" thickBot="1" x14ac:dyDescent="0.45">
      <c r="A18" s="833" t="s">
        <v>370</v>
      </c>
      <c r="B18" s="834"/>
      <c r="C18" s="834"/>
      <c r="D18" s="834"/>
      <c r="E18" s="835"/>
      <c r="F18" s="836"/>
      <c r="G18" s="371"/>
      <c r="H18" s="371"/>
      <c r="I18" s="371"/>
      <c r="J18" s="371"/>
      <c r="K18" s="371"/>
      <c r="L18" s="372"/>
      <c r="N18" s="412" t="s">
        <v>230</v>
      </c>
      <c r="O18" s="413"/>
      <c r="P18" s="413"/>
      <c r="Q18" s="413"/>
      <c r="R18" s="414"/>
      <c r="S18" s="415"/>
      <c r="T18" s="416"/>
      <c r="U18" s="416"/>
      <c r="V18" s="416"/>
      <c r="W18" s="416"/>
      <c r="X18" s="416"/>
      <c r="Y18" s="417"/>
    </row>
    <row r="19" spans="1:25" ht="13.5" customHeight="1" thickBot="1" x14ac:dyDescent="0.25">
      <c r="A19" s="837" t="s">
        <v>371</v>
      </c>
      <c r="B19" s="419"/>
      <c r="C19" s="420"/>
      <c r="D19" s="420"/>
      <c r="E19" s="420"/>
      <c r="F19" s="420"/>
      <c r="G19" s="420"/>
      <c r="H19" s="420"/>
      <c r="I19" s="420"/>
      <c r="J19" s="420"/>
      <c r="K19" s="420"/>
      <c r="L19" s="838"/>
      <c r="N19" s="418"/>
      <c r="O19" s="419"/>
      <c r="P19" s="420"/>
      <c r="Q19" s="420"/>
      <c r="R19" s="420"/>
      <c r="S19" s="420"/>
      <c r="T19" s="420"/>
      <c r="U19" s="420"/>
      <c r="V19" s="420"/>
      <c r="W19" s="420"/>
      <c r="X19" s="420"/>
      <c r="Y19" s="421"/>
    </row>
    <row r="20" spans="1:25" ht="13.5" customHeight="1" thickBot="1" x14ac:dyDescent="0.3">
      <c r="A20" s="839"/>
      <c r="B20" s="423" t="s">
        <v>231</v>
      </c>
      <c r="C20" s="424"/>
      <c r="D20" s="425"/>
      <c r="E20" s="426"/>
      <c r="F20" s="426"/>
      <c r="G20" s="426"/>
      <c r="H20" s="665" t="s">
        <v>127</v>
      </c>
      <c r="I20" s="666"/>
      <c r="J20" s="666"/>
      <c r="K20" s="667"/>
      <c r="L20" s="840"/>
      <c r="N20" s="428"/>
      <c r="O20" s="429" t="s">
        <v>232</v>
      </c>
      <c r="P20" s="430"/>
      <c r="Q20" s="428"/>
      <c r="R20" s="431" t="s">
        <v>233</v>
      </c>
      <c r="S20" s="430"/>
      <c r="T20" s="432"/>
      <c r="U20" s="433"/>
      <c r="V20" s="433"/>
      <c r="W20" s="433"/>
      <c r="X20" s="433"/>
      <c r="Y20" s="427"/>
    </row>
    <row r="21" spans="1:25" ht="13.5" customHeight="1" x14ac:dyDescent="0.25">
      <c r="A21" s="841"/>
      <c r="B21" s="435" t="s">
        <v>130</v>
      </c>
      <c r="C21" s="436" t="s">
        <v>234</v>
      </c>
      <c r="D21" s="437" t="s">
        <v>235</v>
      </c>
      <c r="E21" s="842"/>
      <c r="F21" s="842"/>
      <c r="G21" s="842"/>
      <c r="H21" s="668" t="s">
        <v>236</v>
      </c>
      <c r="I21" s="843" t="s">
        <v>237</v>
      </c>
      <c r="J21" s="843" t="s">
        <v>238</v>
      </c>
      <c r="K21" s="670" t="s">
        <v>239</v>
      </c>
      <c r="L21" s="840"/>
      <c r="N21" s="439" t="s">
        <v>240</v>
      </c>
      <c r="O21" s="440">
        <f>B22</f>
        <v>21147</v>
      </c>
      <c r="P21" s="430"/>
      <c r="Q21" s="439" t="s">
        <v>241</v>
      </c>
      <c r="R21" s="441">
        <f>O32</f>
        <v>21147</v>
      </c>
      <c r="S21" s="430"/>
      <c r="T21" s="432"/>
      <c r="U21" s="438"/>
      <c r="V21" s="438"/>
      <c r="W21" s="438"/>
      <c r="X21" s="438"/>
      <c r="Y21" s="427"/>
    </row>
    <row r="22" spans="1:25" ht="13.5" customHeight="1" x14ac:dyDescent="0.25">
      <c r="A22" s="844" t="s">
        <v>242</v>
      </c>
      <c r="B22" s="450">
        <f>Inputs!C5</f>
        <v>21147</v>
      </c>
      <c r="C22" s="450">
        <f>Inputs!C16</f>
        <v>965</v>
      </c>
      <c r="D22" s="442">
        <f>B22/B26</f>
        <v>0.86688524590163929</v>
      </c>
      <c r="E22" s="842"/>
      <c r="F22" s="842"/>
      <c r="G22" s="842"/>
      <c r="H22" s="671" t="s">
        <v>112</v>
      </c>
      <c r="I22" s="845" t="s">
        <v>130</v>
      </c>
      <c r="J22" s="846"/>
      <c r="K22" s="674"/>
      <c r="L22" s="840"/>
      <c r="N22" s="445" t="s">
        <v>243</v>
      </c>
      <c r="O22" s="446">
        <f>C22</f>
        <v>965</v>
      </c>
      <c r="P22" s="430"/>
      <c r="Q22" s="445" t="s">
        <v>244</v>
      </c>
      <c r="R22" s="447">
        <f>SUM(O34:S34)</f>
        <v>3666.2355669882609</v>
      </c>
      <c r="S22" s="430"/>
      <c r="T22" s="432"/>
      <c r="U22" s="448"/>
      <c r="V22" s="443"/>
      <c r="W22" s="444"/>
      <c r="X22" s="449"/>
      <c r="Y22" s="427"/>
    </row>
    <row r="23" spans="1:25" ht="13.5" customHeight="1" x14ac:dyDescent="0.25">
      <c r="A23" s="844" t="s">
        <v>245</v>
      </c>
      <c r="B23" s="450">
        <v>0</v>
      </c>
      <c r="C23" s="450">
        <v>575</v>
      </c>
      <c r="D23" s="442">
        <f>B23/B26</f>
        <v>0</v>
      </c>
      <c r="E23" s="842"/>
      <c r="F23" s="842"/>
      <c r="G23" s="842"/>
      <c r="H23" s="627">
        <f>IFERROR(26900*F36*(100-F36)^0.819*(I36-J36)^2.28,0)</f>
        <v>0</v>
      </c>
      <c r="I23" s="628">
        <f>IFERROR(H23/100*(B36+D36),0)</f>
        <v>0</v>
      </c>
      <c r="J23" s="628">
        <f>B36+D36</f>
        <v>21147</v>
      </c>
      <c r="K23" s="684">
        <f>B36+D36-I23</f>
        <v>21147</v>
      </c>
      <c r="L23" s="840"/>
      <c r="N23" s="445" t="s">
        <v>246</v>
      </c>
      <c r="O23" s="446">
        <f>C24</f>
        <v>660</v>
      </c>
      <c r="P23" s="430"/>
      <c r="Q23" s="445" t="s">
        <v>247</v>
      </c>
      <c r="R23" s="447">
        <f>S40</f>
        <v>24693.378362417825</v>
      </c>
      <c r="S23" s="430"/>
      <c r="T23" s="432"/>
      <c r="U23" s="452"/>
      <c r="V23" s="451"/>
      <c r="W23" s="451"/>
      <c r="X23" s="453"/>
      <c r="Y23" s="427"/>
    </row>
    <row r="24" spans="1:25" ht="13.5" customHeight="1" thickBot="1" x14ac:dyDescent="0.3">
      <c r="A24" s="844" t="s">
        <v>248</v>
      </c>
      <c r="B24" s="450">
        <f>(C22-B28)/(B28-C24)*B22</f>
        <v>3247.2322239031796</v>
      </c>
      <c r="C24" s="759">
        <f>L14</f>
        <v>660</v>
      </c>
      <c r="D24" s="442">
        <f>B24/B26</f>
        <v>0.13311475409836077</v>
      </c>
      <c r="E24" s="847"/>
      <c r="F24" s="842"/>
      <c r="G24" s="842"/>
      <c r="H24" s="627">
        <f>IFERROR(26900*F37*(100-F37)^0.819*(I37-J37)^2.28,0)</f>
        <v>0.37332770478631283</v>
      </c>
      <c r="I24" s="628">
        <f>IFERROR(H24/100*(B37+D37),0)</f>
        <v>91.070427261740861</v>
      </c>
      <c r="J24" s="628">
        <f>B37+D37</f>
        <v>24394.232223903178</v>
      </c>
      <c r="K24" s="684">
        <f>B37+D37-I24</f>
        <v>24303.161796641438</v>
      </c>
      <c r="L24" s="840"/>
      <c r="N24" s="455" t="s">
        <v>249</v>
      </c>
      <c r="O24" s="456">
        <f>B28</f>
        <v>924.4</v>
      </c>
      <c r="P24" s="430"/>
      <c r="Q24" s="455" t="s">
        <v>250</v>
      </c>
      <c r="R24" s="457">
        <f>R23-SUM(R21:R22)</f>
        <v>-119.85720457043499</v>
      </c>
      <c r="S24" s="430"/>
      <c r="T24" s="432"/>
      <c r="U24" s="452"/>
      <c r="V24" s="451"/>
      <c r="W24" s="451"/>
      <c r="X24" s="453"/>
      <c r="Y24" s="427"/>
    </row>
    <row r="25" spans="1:25" ht="13.5" customHeight="1" thickBot="1" x14ac:dyDescent="0.3">
      <c r="A25" s="848"/>
      <c r="B25" s="458"/>
      <c r="C25" s="459"/>
      <c r="D25" s="460"/>
      <c r="E25" s="842"/>
      <c r="F25" s="842"/>
      <c r="G25" s="842"/>
      <c r="H25" s="630">
        <f>IFERROR(26900*F38*(100-F38)^0.819*(I38-J38)^2.28,0)</f>
        <v>0</v>
      </c>
      <c r="I25" s="631">
        <f>IFERROR(H25/100*(B38+D38),0)</f>
        <v>0</v>
      </c>
      <c r="J25" s="631">
        <f>B38+D38</f>
        <v>24303.161796641438</v>
      </c>
      <c r="K25" s="685">
        <f>B38+D38-I25</f>
        <v>24303.161796641438</v>
      </c>
      <c r="L25" s="840"/>
      <c r="N25" s="430"/>
      <c r="O25" s="430"/>
      <c r="P25" s="430"/>
      <c r="Q25" s="430"/>
      <c r="R25" s="430"/>
      <c r="S25" s="430"/>
      <c r="T25" s="432"/>
      <c r="U25" s="452"/>
      <c r="V25" s="451"/>
      <c r="W25" s="451"/>
      <c r="X25" s="453"/>
      <c r="Y25" s="427"/>
    </row>
    <row r="26" spans="1:25" ht="13.5" customHeight="1" thickBot="1" x14ac:dyDescent="0.3">
      <c r="A26" s="844" t="s">
        <v>251</v>
      </c>
      <c r="B26" s="461">
        <f>SUM(B22:B25)</f>
        <v>24394.232223903178</v>
      </c>
      <c r="C26" s="842"/>
      <c r="D26" s="462">
        <f>SUM(D22:D25)</f>
        <v>1</v>
      </c>
      <c r="E26" s="842"/>
      <c r="F26" s="842"/>
      <c r="G26" s="842"/>
      <c r="H26" s="633">
        <f>IF(I26=0,"",(I26/K26))</f>
        <v>3.7472666323739938E-3</v>
      </c>
      <c r="I26" s="675">
        <f>(SUM(I23:I25))*1</f>
        <v>91.070427261740861</v>
      </c>
      <c r="J26" s="849"/>
      <c r="K26" s="683">
        <f>K25</f>
        <v>24303.161796641438</v>
      </c>
      <c r="L26" s="840"/>
      <c r="N26" s="464" t="s">
        <v>252</v>
      </c>
      <c r="O26" s="465"/>
      <c r="P26" s="465"/>
      <c r="Q26" s="465"/>
      <c r="R26" s="465"/>
      <c r="S26" s="466"/>
      <c r="T26" s="432"/>
      <c r="U26" s="452"/>
      <c r="V26" s="451"/>
      <c r="W26" s="463"/>
      <c r="X26" s="467"/>
      <c r="Y26" s="427"/>
    </row>
    <row r="27" spans="1:25" ht="13.5" customHeight="1" thickBot="1" x14ac:dyDescent="0.3">
      <c r="A27" s="844" t="s">
        <v>253</v>
      </c>
      <c r="B27" s="639">
        <f>SUMPRODUCT(B22:B25,C22:C25)/SUM(B22:B25)</f>
        <v>924.4</v>
      </c>
      <c r="C27" s="842"/>
      <c r="D27" s="468"/>
      <c r="E27" s="842"/>
      <c r="F27" s="842"/>
      <c r="G27" s="842"/>
      <c r="H27" s="850"/>
      <c r="I27" s="850"/>
      <c r="J27" s="851" t="s">
        <v>251</v>
      </c>
      <c r="K27" s="684">
        <f>B26</f>
        <v>24394.232223903178</v>
      </c>
      <c r="L27" s="840"/>
      <c r="N27" s="470"/>
      <c r="O27" s="471" t="s">
        <v>254</v>
      </c>
      <c r="P27" s="471" t="s">
        <v>255</v>
      </c>
      <c r="Q27" s="471" t="s">
        <v>256</v>
      </c>
      <c r="R27" s="471" t="s">
        <v>257</v>
      </c>
      <c r="S27" s="472" t="s">
        <v>258</v>
      </c>
      <c r="T27" s="432"/>
      <c r="U27" s="449"/>
      <c r="V27" s="449"/>
      <c r="W27" s="469"/>
      <c r="X27" s="453"/>
      <c r="Y27" s="427"/>
    </row>
    <row r="28" spans="1:25" ht="13.5" customHeight="1" x14ac:dyDescent="0.25">
      <c r="A28" s="844" t="s">
        <v>249</v>
      </c>
      <c r="B28" s="642">
        <f>Inputs!C18</f>
        <v>924.4</v>
      </c>
      <c r="C28" s="842"/>
      <c r="D28" s="468"/>
      <c r="E28" s="842"/>
      <c r="F28" s="842"/>
      <c r="G28" s="842"/>
      <c r="H28" s="850"/>
      <c r="I28" s="850"/>
      <c r="J28" s="851" t="s">
        <v>259</v>
      </c>
      <c r="K28" s="684">
        <f>I26*-1</f>
        <v>-91.070427261740861</v>
      </c>
      <c r="L28" s="840"/>
      <c r="N28" s="439" t="s">
        <v>249</v>
      </c>
      <c r="O28" s="473">
        <f>$B$28</f>
        <v>924.4</v>
      </c>
      <c r="P28" s="473">
        <f t="shared" ref="P28:S29" si="0">O28</f>
        <v>924.4</v>
      </c>
      <c r="Q28" s="473">
        <f t="shared" si="0"/>
        <v>924.4</v>
      </c>
      <c r="R28" s="473">
        <f t="shared" si="0"/>
        <v>924.4</v>
      </c>
      <c r="S28" s="474">
        <f t="shared" si="0"/>
        <v>924.4</v>
      </c>
      <c r="T28" s="432"/>
      <c r="U28" s="449"/>
      <c r="V28" s="449"/>
      <c r="W28" s="469"/>
      <c r="X28" s="453"/>
      <c r="Y28" s="427"/>
    </row>
    <row r="29" spans="1:25" ht="13.5" customHeight="1" x14ac:dyDescent="0.25">
      <c r="A29" s="852"/>
      <c r="B29" s="853">
        <f>D49</f>
        <v>924.4</v>
      </c>
      <c r="C29" s="842"/>
      <c r="D29" s="842"/>
      <c r="E29" s="842"/>
      <c r="F29" s="842"/>
      <c r="G29" s="842"/>
      <c r="H29" s="850"/>
      <c r="I29" s="850"/>
      <c r="J29" s="851" t="s">
        <v>260</v>
      </c>
      <c r="K29" s="686">
        <f>K27+K28</f>
        <v>24303.161796641438</v>
      </c>
      <c r="L29" s="840"/>
      <c r="N29" s="445" t="s">
        <v>261</v>
      </c>
      <c r="O29" s="475">
        <f>$C$24</f>
        <v>660</v>
      </c>
      <c r="P29" s="475">
        <f t="shared" si="0"/>
        <v>660</v>
      </c>
      <c r="Q29" s="475">
        <f t="shared" si="0"/>
        <v>660</v>
      </c>
      <c r="R29" s="475">
        <f t="shared" si="0"/>
        <v>660</v>
      </c>
      <c r="S29" s="476">
        <f t="shared" si="0"/>
        <v>660</v>
      </c>
      <c r="T29" s="432"/>
      <c r="U29" s="449"/>
      <c r="V29" s="449"/>
      <c r="W29" s="469"/>
      <c r="X29" s="453"/>
      <c r="Y29" s="427"/>
    </row>
    <row r="30" spans="1:25" ht="15" x14ac:dyDescent="0.25">
      <c r="A30" s="854"/>
      <c r="B30" s="842"/>
      <c r="C30" s="842"/>
      <c r="D30" s="842"/>
      <c r="E30" s="842"/>
      <c r="F30" s="842"/>
      <c r="G30" s="842"/>
      <c r="H30" s="850"/>
      <c r="I30" s="850"/>
      <c r="J30" s="851" t="s">
        <v>262</v>
      </c>
      <c r="K30" s="687">
        <f>I26/B26</f>
        <v>3.7332770478631285E-3</v>
      </c>
      <c r="L30" s="840"/>
      <c r="N30" s="445" t="s">
        <v>180</v>
      </c>
      <c r="O30" s="475">
        <f>$C$22</f>
        <v>965</v>
      </c>
      <c r="P30" s="475">
        <f>O41</f>
        <v>928.48481136905878</v>
      </c>
      <c r="Q30" s="475">
        <f>P41</f>
        <v>924.8214699021313</v>
      </c>
      <c r="R30" s="475">
        <f>Q41</f>
        <v>924.4435860586575</v>
      </c>
      <c r="S30" s="476">
        <f>R41</f>
        <v>924.4045084686984</v>
      </c>
      <c r="T30" s="432"/>
      <c r="U30" s="449"/>
      <c r="V30" s="449"/>
      <c r="W30" s="469"/>
      <c r="X30" s="478"/>
      <c r="Y30" s="427"/>
    </row>
    <row r="31" spans="1:25" ht="15" x14ac:dyDescent="0.25">
      <c r="A31" s="854" t="s">
        <v>377</v>
      </c>
      <c r="B31" s="842"/>
      <c r="C31" s="842"/>
      <c r="D31" s="842"/>
      <c r="E31" s="842"/>
      <c r="F31" s="842"/>
      <c r="G31" s="842"/>
      <c r="H31" s="855"/>
      <c r="I31" s="832"/>
      <c r="J31" s="832"/>
      <c r="K31" s="832"/>
      <c r="L31" s="840"/>
      <c r="N31" s="445"/>
      <c r="O31" s="479"/>
      <c r="P31" s="479"/>
      <c r="Q31" s="479"/>
      <c r="R31" s="479"/>
      <c r="S31" s="480"/>
      <c r="T31" s="432"/>
      <c r="U31" s="449"/>
      <c r="Y31" s="427"/>
    </row>
    <row r="32" spans="1:25" ht="18" customHeight="1" x14ac:dyDescent="0.25">
      <c r="A32" s="856" t="s">
        <v>263</v>
      </c>
      <c r="B32" s="857"/>
      <c r="C32" s="857"/>
      <c r="D32" s="857"/>
      <c r="E32" s="857"/>
      <c r="F32" s="857"/>
      <c r="G32" s="857"/>
      <c r="H32" s="857"/>
      <c r="I32" s="857"/>
      <c r="J32" s="857"/>
      <c r="K32" s="832"/>
      <c r="L32" s="840"/>
      <c r="N32" s="445" t="s">
        <v>264</v>
      </c>
      <c r="O32" s="483">
        <f>$B$22</f>
        <v>21147</v>
      </c>
      <c r="P32" s="483">
        <f>O40</f>
        <v>24286.911311479489</v>
      </c>
      <c r="Q32" s="483">
        <f>P40</f>
        <v>24650.889302461695</v>
      </c>
      <c r="R32" s="483">
        <f>Q40</f>
        <v>24689.020236618424</v>
      </c>
      <c r="S32" s="484">
        <f>R40</f>
        <v>24692.969763181431</v>
      </c>
      <c r="T32" s="482"/>
      <c r="U32" s="432"/>
      <c r="V32" s="432"/>
      <c r="W32" s="432"/>
      <c r="Y32" s="427"/>
    </row>
    <row r="33" spans="1:25" ht="15" x14ac:dyDescent="0.25">
      <c r="A33" s="858"/>
      <c r="B33" s="820" t="s">
        <v>265</v>
      </c>
      <c r="C33" s="821"/>
      <c r="D33" s="820" t="s">
        <v>266</v>
      </c>
      <c r="E33" s="821"/>
      <c r="F33" s="859"/>
      <c r="G33" s="859"/>
      <c r="H33" s="857"/>
      <c r="I33" s="857"/>
      <c r="J33" s="857"/>
      <c r="K33" s="857"/>
      <c r="L33" s="840"/>
      <c r="N33" s="445" t="s">
        <v>267</v>
      </c>
      <c r="O33" s="487">
        <f>O32*O30</f>
        <v>20406855</v>
      </c>
      <c r="P33" s="487">
        <f>P32*P30</f>
        <v>22550028.267776094</v>
      </c>
      <c r="Q33" s="487">
        <f>Q32*Q30</f>
        <v>22797671.679097351</v>
      </c>
      <c r="R33" s="487">
        <f>R32*R30</f>
        <v>22823606.403814301</v>
      </c>
      <c r="S33" s="488">
        <f>S32*S30</f>
        <v>22826292.576566163</v>
      </c>
      <c r="T33" s="486"/>
      <c r="U33" s="432"/>
      <c r="V33" s="432"/>
      <c r="W33" s="432"/>
      <c r="X33" s="432"/>
      <c r="Y33" s="427"/>
    </row>
    <row r="34" spans="1:25" ht="58.5" customHeight="1" x14ac:dyDescent="0.25">
      <c r="A34" s="860"/>
      <c r="B34" s="490" t="s">
        <v>268</v>
      </c>
      <c r="C34" s="490" t="s">
        <v>269</v>
      </c>
      <c r="D34" s="490" t="s">
        <v>270</v>
      </c>
      <c r="E34" s="490" t="s">
        <v>269</v>
      </c>
      <c r="F34" s="491" t="s">
        <v>271</v>
      </c>
      <c r="G34" s="491" t="s">
        <v>272</v>
      </c>
      <c r="H34" s="492" t="s">
        <v>273</v>
      </c>
      <c r="I34" s="493" t="s">
        <v>274</v>
      </c>
      <c r="J34" s="493" t="s">
        <v>275</v>
      </c>
      <c r="K34" s="857"/>
      <c r="L34" s="840"/>
      <c r="N34" s="445" t="s">
        <v>276</v>
      </c>
      <c r="O34" s="494">
        <f>(O28*O32-O30*O32)/(O29-O28)</f>
        <v>3247.2322239031746</v>
      </c>
      <c r="P34" s="494">
        <f>(P28*P32-P30*P32)/(P29-P28)</f>
        <v>375.21728988069026</v>
      </c>
      <c r="Q34" s="494">
        <f>(Q28*Q32-Q30*Q32)/(Q29-Q28)</f>
        <v>39.295037449922262</v>
      </c>
      <c r="R34" s="494">
        <f>(R28*R32-R30*R32)/(R29-R28)</f>
        <v>4.0699587149458196</v>
      </c>
      <c r="S34" s="495">
        <f>(S28*S32-S30*S32)/(S29-S28)</f>
        <v>0.42105703952802565</v>
      </c>
      <c r="T34" s="496"/>
      <c r="U34" s="497"/>
      <c r="V34" s="498"/>
      <c r="W34" s="498"/>
      <c r="X34" s="432"/>
      <c r="Y34" s="427"/>
    </row>
    <row r="35" spans="1:25" ht="15" x14ac:dyDescent="0.25">
      <c r="A35" s="861"/>
      <c r="B35" s="500" t="s">
        <v>130</v>
      </c>
      <c r="C35" s="501" t="s">
        <v>277</v>
      </c>
      <c r="D35" s="500" t="s">
        <v>130</v>
      </c>
      <c r="E35" s="501" t="s">
        <v>277</v>
      </c>
      <c r="F35" s="862" t="s">
        <v>112</v>
      </c>
      <c r="G35" s="862" t="s">
        <v>112</v>
      </c>
      <c r="H35" s="863" t="s">
        <v>112</v>
      </c>
      <c r="I35" s="863"/>
      <c r="J35" s="504"/>
      <c r="K35" s="857"/>
      <c r="L35" s="840"/>
      <c r="N35" s="445" t="s">
        <v>278</v>
      </c>
      <c r="O35" s="483">
        <f>O34*O29</f>
        <v>2143173.2677760953</v>
      </c>
      <c r="P35" s="483">
        <f>P34*P29</f>
        <v>247643.41132125558</v>
      </c>
      <c r="Q35" s="483">
        <f>Q34*Q29</f>
        <v>25934.724716948695</v>
      </c>
      <c r="R35" s="483">
        <f>R34*R29</f>
        <v>2686.172751864241</v>
      </c>
      <c r="S35" s="484">
        <f>S34*S29</f>
        <v>277.89764608849691</v>
      </c>
      <c r="T35" s="502"/>
      <c r="U35" s="505"/>
      <c r="V35" s="505"/>
      <c r="W35" s="505"/>
      <c r="X35" s="432"/>
      <c r="Y35" s="427"/>
    </row>
    <row r="36" spans="1:25" ht="15" x14ac:dyDescent="0.25">
      <c r="A36" s="864" t="s">
        <v>245</v>
      </c>
      <c r="B36" s="507">
        <f>B23</f>
        <v>0</v>
      </c>
      <c r="C36" s="508">
        <f>C23</f>
        <v>575</v>
      </c>
      <c r="D36" s="507">
        <f>B22</f>
        <v>21147</v>
      </c>
      <c r="E36" s="508">
        <f>C22</f>
        <v>965</v>
      </c>
      <c r="F36" s="509">
        <f>IFERROR(B36/(B36+D36)*100,"")</f>
        <v>0</v>
      </c>
      <c r="G36" s="509">
        <f>IFERROR(D36/(B36+D36)*100,"")</f>
        <v>100</v>
      </c>
      <c r="H36" s="865">
        <f>F36+G36</f>
        <v>100</v>
      </c>
      <c r="I36" s="866">
        <f>IFERROR(1/C36,"")</f>
        <v>1.7391304347826088E-3</v>
      </c>
      <c r="J36" s="512">
        <f>IFERROR(1/E36,"")</f>
        <v>1.0362694300518134E-3</v>
      </c>
      <c r="K36" s="857"/>
      <c r="L36" s="840"/>
      <c r="N36" s="445"/>
      <c r="O36" s="479"/>
      <c r="P36" s="479"/>
      <c r="Q36" s="479"/>
      <c r="R36" s="479"/>
      <c r="S36" s="480"/>
      <c r="T36" s="509"/>
      <c r="U36" s="513"/>
      <c r="V36" s="514"/>
      <c r="W36" s="514"/>
      <c r="X36" s="432"/>
      <c r="Y36" s="427"/>
    </row>
    <row r="37" spans="1:25" ht="15" x14ac:dyDescent="0.25">
      <c r="A37" s="864" t="s">
        <v>248</v>
      </c>
      <c r="B37" s="507">
        <f>B24</f>
        <v>3247.2322239031796</v>
      </c>
      <c r="C37" s="508">
        <f>C24</f>
        <v>660</v>
      </c>
      <c r="D37" s="507">
        <f>K23</f>
        <v>21147</v>
      </c>
      <c r="E37" s="508">
        <f>E36</f>
        <v>965</v>
      </c>
      <c r="F37" s="509">
        <f>IFERROR(B37/(B37+D37)*100,"")</f>
        <v>13.311475409836076</v>
      </c>
      <c r="G37" s="509">
        <f>IFERROR(D37/(B37+D37)*100,"")</f>
        <v>86.688524590163922</v>
      </c>
      <c r="H37" s="865">
        <f t="shared" ref="H37:H38" si="1">F37+G37</f>
        <v>100</v>
      </c>
      <c r="I37" s="866">
        <f>IFERROR(1/C37,"")</f>
        <v>1.5151515151515152E-3</v>
      </c>
      <c r="J37" s="512">
        <f>IFERROR(1/E37,"")</f>
        <v>1.0362694300518134E-3</v>
      </c>
      <c r="K37" s="857"/>
      <c r="L37" s="840"/>
      <c r="N37" s="445" t="s">
        <v>279</v>
      </c>
      <c r="O37" s="515">
        <f>O34/(O32+O34)</f>
        <v>0.13311475409836057</v>
      </c>
      <c r="P37" s="515">
        <f>P34/(P32+P34)</f>
        <v>1.5214310814192902E-2</v>
      </c>
      <c r="Q37" s="515">
        <f>Q34/(Q32+Q34)</f>
        <v>1.5915246686271976E-3</v>
      </c>
      <c r="R37" s="515">
        <f>R34/(R32+R34)</f>
        <v>1.6482176522867849E-4</v>
      </c>
      <c r="S37" s="516">
        <f>S34/(S32+S34)</f>
        <v>1.7051406288974693E-5</v>
      </c>
      <c r="T37" s="509"/>
      <c r="U37" s="513"/>
      <c r="V37" s="514"/>
      <c r="W37" s="514"/>
      <c r="X37" s="432"/>
      <c r="Y37" s="427"/>
    </row>
    <row r="38" spans="1:25" ht="15" x14ac:dyDescent="0.25">
      <c r="A38" s="867" t="s">
        <v>280</v>
      </c>
      <c r="B38" s="518">
        <f>K24</f>
        <v>24303.161796641438</v>
      </c>
      <c r="C38" s="519">
        <f>E37</f>
        <v>965</v>
      </c>
      <c r="D38" s="518">
        <f>B25</f>
        <v>0</v>
      </c>
      <c r="E38" s="519">
        <f>C25</f>
        <v>0</v>
      </c>
      <c r="F38" s="509">
        <f>IFERROR(B38/(B38+D38)*100,"")</f>
        <v>100</v>
      </c>
      <c r="G38" s="509">
        <f>IFERROR(D38/(B38+D38)*100,"")</f>
        <v>0</v>
      </c>
      <c r="H38" s="865">
        <f t="shared" si="1"/>
        <v>100</v>
      </c>
      <c r="I38" s="866">
        <f>IFERROR(1/C38,"")</f>
        <v>1.0362694300518134E-3</v>
      </c>
      <c r="J38" s="512" t="str">
        <f>IFERROR(1/E38,"")</f>
        <v/>
      </c>
      <c r="K38" s="857"/>
      <c r="L38" s="840"/>
      <c r="N38" s="445" t="s">
        <v>281</v>
      </c>
      <c r="O38" s="520">
        <f>31700*O37*(100-O37*100)^0.819*(1/O29-1/O30)^2.28</f>
        <v>4.3994380080766213E-3</v>
      </c>
      <c r="P38" s="520">
        <f t="shared" ref="P38:S38" si="2">31700*P37*(100-P37*100)^0.819*(1/P29-1/P30)^2.28</f>
        <v>4.5573109605246694E-4</v>
      </c>
      <c r="Q38" s="520">
        <f t="shared" si="2"/>
        <v>4.7148424538645405E-5</v>
      </c>
      <c r="R38" s="520">
        <f t="shared" si="2"/>
        <v>4.8771600066182117E-6</v>
      </c>
      <c r="S38" s="521">
        <f t="shared" si="2"/>
        <v>5.0449949244939847E-7</v>
      </c>
      <c r="T38" s="509"/>
      <c r="U38" s="513"/>
      <c r="V38" s="514"/>
      <c r="W38" s="514"/>
      <c r="X38" s="432"/>
      <c r="Y38" s="427"/>
    </row>
    <row r="39" spans="1:25" ht="15" x14ac:dyDescent="0.25">
      <c r="A39" s="868" t="s">
        <v>282</v>
      </c>
      <c r="B39" s="859" t="s">
        <v>283</v>
      </c>
      <c r="C39" s="859"/>
      <c r="D39" s="859"/>
      <c r="E39" s="859"/>
      <c r="F39" s="859"/>
      <c r="G39" s="859"/>
      <c r="H39" s="857"/>
      <c r="I39" s="857"/>
      <c r="J39" s="523"/>
      <c r="K39" s="857"/>
      <c r="L39" s="840"/>
      <c r="N39" s="445" t="s">
        <v>250</v>
      </c>
      <c r="O39" s="524">
        <f>-O38*(O32+O34)</f>
        <v>-107.3209124236871</v>
      </c>
      <c r="P39" s="524">
        <f>-P38*(P32+P34)</f>
        <v>-11.239298898484767</v>
      </c>
      <c r="Q39" s="524">
        <f>-Q38*(Q32+Q34)</f>
        <v>-1.1641032931955675</v>
      </c>
      <c r="R39" s="524">
        <f>-R38*(R32+R34)</f>
        <v>-0.1204321519404962</v>
      </c>
      <c r="S39" s="525">
        <f>-S38*(S32+S34)</f>
        <v>-1.245780313565611E-2</v>
      </c>
      <c r="T39" s="486"/>
      <c r="U39" s="432"/>
      <c r="V39" s="432"/>
      <c r="W39" s="432"/>
      <c r="X39" s="432"/>
      <c r="Y39" s="427"/>
    </row>
    <row r="40" spans="1:25" ht="15" x14ac:dyDescent="0.25">
      <c r="A40" s="868" t="s">
        <v>284</v>
      </c>
      <c r="B40" s="859" t="s">
        <v>285</v>
      </c>
      <c r="C40" s="859"/>
      <c r="D40" s="859"/>
      <c r="E40" s="859"/>
      <c r="F40" s="859"/>
      <c r="G40" s="859"/>
      <c r="H40" s="857"/>
      <c r="I40" s="857"/>
      <c r="J40" s="523"/>
      <c r="K40" s="857"/>
      <c r="L40" s="840"/>
      <c r="N40" s="445" t="s">
        <v>286</v>
      </c>
      <c r="O40" s="524">
        <f>O32+O34+O39</f>
        <v>24286.911311479489</v>
      </c>
      <c r="P40" s="524">
        <f>P32+P34+P39</f>
        <v>24650.889302461695</v>
      </c>
      <c r="Q40" s="524">
        <f>Q32+Q34+Q39</f>
        <v>24689.020236618424</v>
      </c>
      <c r="R40" s="524">
        <f>R32+R34+R39</f>
        <v>24692.969763181431</v>
      </c>
      <c r="S40" s="525">
        <f>S32+S34+S39</f>
        <v>24693.378362417825</v>
      </c>
      <c r="T40" s="486"/>
      <c r="U40" s="432"/>
      <c r="V40" s="432"/>
      <c r="W40" s="432"/>
      <c r="X40" s="432"/>
      <c r="Y40" s="427"/>
    </row>
    <row r="41" spans="1:25" ht="15.75" thickBot="1" x14ac:dyDescent="0.3">
      <c r="A41" s="868" t="s">
        <v>287</v>
      </c>
      <c r="B41" s="859" t="s">
        <v>288</v>
      </c>
      <c r="C41" s="859"/>
      <c r="D41" s="859"/>
      <c r="E41" s="859"/>
      <c r="F41" s="859"/>
      <c r="G41" s="859"/>
      <c r="H41" s="857"/>
      <c r="I41" s="857"/>
      <c r="J41" s="523"/>
      <c r="K41" s="857"/>
      <c r="L41" s="840"/>
      <c r="N41" s="455" t="s">
        <v>289</v>
      </c>
      <c r="O41" s="526">
        <f>(O33+O35)/O40</f>
        <v>928.48481136905878</v>
      </c>
      <c r="P41" s="526">
        <f>(P33+P35)/P40</f>
        <v>924.8214699021313</v>
      </c>
      <c r="Q41" s="526">
        <f>(Q33+Q35)/Q40</f>
        <v>924.4435860586575</v>
      </c>
      <c r="R41" s="526">
        <f>(R33+R35)/R40</f>
        <v>924.4045084686984</v>
      </c>
      <c r="S41" s="527">
        <f>(S33+S35)/S40</f>
        <v>924.40046635956594</v>
      </c>
      <c r="T41" s="486"/>
      <c r="U41" s="482"/>
      <c r="V41" s="482"/>
      <c r="W41" s="482"/>
      <c r="X41" s="482"/>
      <c r="Y41" s="427"/>
    </row>
    <row r="42" spans="1:25" x14ac:dyDescent="0.2">
      <c r="A42" s="869" t="s">
        <v>290</v>
      </c>
      <c r="B42" s="529" t="s">
        <v>291</v>
      </c>
      <c r="C42" s="529"/>
      <c r="D42" s="529"/>
      <c r="E42" s="529"/>
      <c r="F42" s="529"/>
      <c r="G42" s="529"/>
      <c r="H42" s="530"/>
      <c r="I42" s="530"/>
      <c r="J42" s="531"/>
      <c r="K42" s="530"/>
      <c r="L42" s="870"/>
      <c r="N42" s="528"/>
      <c r="O42" s="529"/>
      <c r="P42" s="529"/>
      <c r="Q42" s="529"/>
      <c r="R42" s="529"/>
      <c r="S42" s="529"/>
      <c r="T42" s="529"/>
      <c r="U42" s="530"/>
      <c r="V42" s="530"/>
      <c r="W42" s="530"/>
      <c r="X42" s="530"/>
      <c r="Y42" s="532"/>
    </row>
    <row r="43" spans="1:25" x14ac:dyDescent="0.2">
      <c r="A43" s="871"/>
      <c r="B43" s="832"/>
      <c r="C43" s="832"/>
      <c r="D43" s="832"/>
      <c r="E43" s="832"/>
      <c r="F43" s="832"/>
      <c r="G43" s="832"/>
      <c r="H43" s="832"/>
      <c r="I43" s="832"/>
      <c r="J43" s="832"/>
      <c r="K43" s="832"/>
      <c r="L43" s="872"/>
      <c r="N43" s="533"/>
      <c r="Y43" s="534"/>
    </row>
    <row r="44" spans="1:25" ht="23.25" x14ac:dyDescent="0.35">
      <c r="A44" s="597" t="s">
        <v>372</v>
      </c>
      <c r="B44" s="832"/>
      <c r="C44" s="832"/>
      <c r="D44" s="832"/>
      <c r="E44" s="832"/>
      <c r="F44" s="832"/>
      <c r="G44" s="832"/>
      <c r="H44" s="873"/>
      <c r="I44" s="832"/>
      <c r="J44" s="832"/>
      <c r="K44" s="832"/>
      <c r="L44" s="872"/>
      <c r="N44" s="535" t="s">
        <v>292</v>
      </c>
      <c r="U44" s="536"/>
      <c r="Y44" s="534"/>
    </row>
    <row r="45" spans="1:25" ht="15" x14ac:dyDescent="0.25">
      <c r="A45" s="871"/>
      <c r="B45" s="874"/>
      <c r="C45" s="538" t="s">
        <v>130</v>
      </c>
      <c r="D45" s="538" t="s">
        <v>277</v>
      </c>
      <c r="E45" s="539" t="s">
        <v>293</v>
      </c>
      <c r="F45" s="539" t="s">
        <v>235</v>
      </c>
      <c r="G45" s="831"/>
      <c r="H45" s="875"/>
      <c r="I45" s="831"/>
      <c r="J45" s="832"/>
      <c r="K45" s="832"/>
      <c r="L45" s="872"/>
      <c r="N45" s="533"/>
      <c r="O45" s="537"/>
      <c r="P45" s="538" t="s">
        <v>130</v>
      </c>
      <c r="Q45" s="538" t="s">
        <v>277</v>
      </c>
      <c r="R45" s="539" t="s">
        <v>293</v>
      </c>
      <c r="S45" s="539" t="s">
        <v>235</v>
      </c>
      <c r="T45" s="400"/>
      <c r="U45" s="540"/>
      <c r="V45" s="400"/>
      <c r="Y45" s="534"/>
    </row>
    <row r="46" spans="1:25" ht="18" x14ac:dyDescent="0.25">
      <c r="A46" s="876"/>
      <c r="B46" s="877" t="s">
        <v>294</v>
      </c>
      <c r="C46" s="543">
        <f>$B$22</f>
        <v>21147</v>
      </c>
      <c r="D46" s="543">
        <f>$C$22</f>
        <v>965</v>
      </c>
      <c r="E46" s="592"/>
      <c r="F46" s="592">
        <f>C46/C49</f>
        <v>0.86688524590163929</v>
      </c>
      <c r="G46" s="831"/>
      <c r="H46" s="873"/>
      <c r="I46" s="831"/>
      <c r="J46" s="832"/>
      <c r="K46" s="832"/>
      <c r="L46" s="872"/>
      <c r="N46" s="541"/>
      <c r="O46" s="542" t="s">
        <v>294</v>
      </c>
      <c r="P46" s="543">
        <f>$B$22</f>
        <v>21147</v>
      </c>
      <c r="Q46" s="543">
        <f>$C$22</f>
        <v>965</v>
      </c>
      <c r="R46" s="544"/>
      <c r="S46" s="544">
        <f>P46/P49</f>
        <v>0.85224677543198557</v>
      </c>
      <c r="T46" s="400"/>
      <c r="U46" s="545"/>
      <c r="V46" s="400"/>
      <c r="Y46" s="534"/>
    </row>
    <row r="47" spans="1:25" ht="18" x14ac:dyDescent="0.25">
      <c r="A47" s="878"/>
      <c r="B47" s="877" t="s">
        <v>189</v>
      </c>
      <c r="C47" s="543">
        <f>$B$24</f>
        <v>3247.2322239031796</v>
      </c>
      <c r="D47" s="551">
        <f>C24</f>
        <v>660</v>
      </c>
      <c r="E47" s="592">
        <f>C47/C46</f>
        <v>0.1535552193645992</v>
      </c>
      <c r="F47" s="592">
        <f>C47/C49</f>
        <v>0.13311475409836077</v>
      </c>
      <c r="G47" s="831"/>
      <c r="H47" s="875"/>
      <c r="I47" s="831"/>
      <c r="J47" s="832"/>
      <c r="K47" s="832"/>
      <c r="L47" s="872"/>
      <c r="N47" s="546"/>
      <c r="O47" s="542" t="s">
        <v>189</v>
      </c>
      <c r="P47" s="549">
        <f>$R$22</f>
        <v>3666.2355669882609</v>
      </c>
      <c r="Q47" s="547">
        <f>$O$29</f>
        <v>660</v>
      </c>
      <c r="R47" s="544">
        <f>P47/P46</f>
        <v>0.17336906260879845</v>
      </c>
      <c r="S47" s="544">
        <f>P47/P49</f>
        <v>0.14775322456801449</v>
      </c>
      <c r="T47" s="400"/>
      <c r="U47" s="548"/>
      <c r="V47" s="400"/>
      <c r="Y47" s="534"/>
    </row>
    <row r="48" spans="1:25" ht="18" x14ac:dyDescent="0.25">
      <c r="A48" s="879"/>
      <c r="B48" s="877" t="s">
        <v>295</v>
      </c>
      <c r="C48" s="543">
        <f>$B$23</f>
        <v>0</v>
      </c>
      <c r="D48" s="551">
        <f>$C$23</f>
        <v>575</v>
      </c>
      <c r="E48" s="592">
        <f>C48/C46</f>
        <v>0</v>
      </c>
      <c r="F48" s="592">
        <f>C48/C49</f>
        <v>0</v>
      </c>
      <c r="G48" s="831"/>
      <c r="H48" s="875"/>
      <c r="I48" s="831"/>
      <c r="J48" s="832"/>
      <c r="K48" s="832"/>
      <c r="L48" s="872"/>
      <c r="N48" s="550"/>
      <c r="O48" s="542" t="s">
        <v>295</v>
      </c>
      <c r="P48" s="549">
        <v>0</v>
      </c>
      <c r="Q48" s="551">
        <f>$C$23</f>
        <v>575</v>
      </c>
      <c r="R48" s="544">
        <f>P48/P46</f>
        <v>0</v>
      </c>
      <c r="S48" s="544">
        <f>P48/P49</f>
        <v>0</v>
      </c>
      <c r="T48" s="400"/>
      <c r="U48" s="548"/>
      <c r="V48" s="400"/>
      <c r="Y48" s="534"/>
    </row>
    <row r="49" spans="1:25" ht="18" x14ac:dyDescent="0.25">
      <c r="A49" s="879"/>
      <c r="B49" s="877" t="s">
        <v>439</v>
      </c>
      <c r="C49" s="552">
        <f>SUM(C46:C48)</f>
        <v>24394.232223903178</v>
      </c>
      <c r="D49" s="688">
        <f>SUMPRODUCT(C46:C48,D46:D48)/SUM(C46:C48)</f>
        <v>924.4</v>
      </c>
      <c r="E49" s="592"/>
      <c r="F49" s="592">
        <f>SUM(F46:F48)</f>
        <v>1</v>
      </c>
      <c r="G49" s="831"/>
      <c r="H49" s="875"/>
      <c r="I49" s="831"/>
      <c r="J49" s="832"/>
      <c r="K49" s="832"/>
      <c r="L49" s="872"/>
      <c r="N49" s="550"/>
      <c r="O49" s="542" t="s">
        <v>296</v>
      </c>
      <c r="P49" s="552">
        <f>SUM(P46:P48)</f>
        <v>24813.23556698826</v>
      </c>
      <c r="Q49" s="553">
        <f>SUMPRODUCT(P46:P48,Q46:Q48)/SUM(P46:P48)</f>
        <v>919.93526650675562</v>
      </c>
      <c r="R49" s="544"/>
      <c r="S49" s="544">
        <f>SUM(S46:S48)</f>
        <v>1</v>
      </c>
      <c r="T49" s="400"/>
      <c r="U49" s="540"/>
      <c r="V49" s="400"/>
      <c r="Y49" s="534"/>
    </row>
    <row r="50" spans="1:25" ht="18" x14ac:dyDescent="0.25">
      <c r="A50" s="879"/>
      <c r="B50" s="877" t="s">
        <v>297</v>
      </c>
      <c r="C50" s="554">
        <f>I26</f>
        <v>91.070427261740861</v>
      </c>
      <c r="D50" s="555"/>
      <c r="E50" s="831"/>
      <c r="F50" s="831"/>
      <c r="G50" s="831"/>
      <c r="H50" s="875"/>
      <c r="I50" s="831"/>
      <c r="J50" s="832"/>
      <c r="K50" s="832"/>
      <c r="L50" s="872"/>
      <c r="N50" s="550"/>
      <c r="O50" s="542" t="s">
        <v>297</v>
      </c>
      <c r="P50" s="556">
        <f>-R24</f>
        <v>119.85720457043499</v>
      </c>
      <c r="Q50" s="555"/>
      <c r="R50" s="400"/>
      <c r="S50" s="400"/>
      <c r="T50" s="400"/>
      <c r="U50" s="540"/>
      <c r="V50" s="400"/>
      <c r="Y50" s="534"/>
    </row>
    <row r="51" spans="1:25" ht="18" x14ac:dyDescent="0.25">
      <c r="A51" s="879"/>
      <c r="B51" s="877" t="s">
        <v>298</v>
      </c>
      <c r="C51" s="552">
        <f>C49-C50</f>
        <v>24303.161796641438</v>
      </c>
      <c r="D51" s="555"/>
      <c r="E51" s="831"/>
      <c r="F51" s="831"/>
      <c r="G51" s="831"/>
      <c r="H51" s="831"/>
      <c r="I51" s="831"/>
      <c r="J51" s="832"/>
      <c r="K51" s="832"/>
      <c r="L51" s="872"/>
      <c r="N51" s="550"/>
      <c r="O51" s="542" t="s">
        <v>298</v>
      </c>
      <c r="P51" s="552">
        <f>P49-P50</f>
        <v>24693.378362417825</v>
      </c>
      <c r="Q51" s="555"/>
      <c r="R51" s="400"/>
      <c r="S51" s="400"/>
      <c r="T51" s="400"/>
      <c r="U51" s="400"/>
      <c r="V51" s="400"/>
      <c r="Y51" s="534"/>
    </row>
    <row r="52" spans="1:25" ht="15" customHeight="1" x14ac:dyDescent="0.2">
      <c r="A52" s="879"/>
      <c r="B52" s="831"/>
      <c r="C52" s="831"/>
      <c r="D52" s="831"/>
      <c r="E52" s="831"/>
      <c r="F52" s="831"/>
      <c r="G52" s="831"/>
      <c r="H52" s="831"/>
      <c r="I52" s="831"/>
      <c r="J52" s="832"/>
      <c r="K52" s="832"/>
      <c r="L52" s="872"/>
      <c r="N52" s="550"/>
      <c r="O52" s="400"/>
      <c r="P52" s="400"/>
      <c r="Q52" s="400"/>
      <c r="R52" s="400"/>
      <c r="S52" s="400"/>
      <c r="T52" s="400"/>
      <c r="U52" s="400"/>
      <c r="V52" s="400"/>
      <c r="Y52" s="534"/>
    </row>
    <row r="53" spans="1:25" ht="15" customHeight="1" x14ac:dyDescent="0.2">
      <c r="A53" s="879"/>
      <c r="B53" s="831"/>
      <c r="C53" s="539" t="s">
        <v>130</v>
      </c>
      <c r="D53" s="539" t="s">
        <v>299</v>
      </c>
      <c r="E53" s="539" t="s">
        <v>300</v>
      </c>
      <c r="F53" s="831"/>
      <c r="G53" s="831"/>
      <c r="H53" s="831"/>
      <c r="I53" s="831"/>
      <c r="J53" s="832"/>
      <c r="K53" s="832"/>
      <c r="L53" s="872"/>
      <c r="N53" s="550"/>
      <c r="O53" s="400"/>
      <c r="P53" s="539" t="s">
        <v>130</v>
      </c>
      <c r="Q53" s="539" t="s">
        <v>299</v>
      </c>
      <c r="R53" s="539" t="s">
        <v>300</v>
      </c>
      <c r="S53" s="400"/>
      <c r="T53" s="400"/>
      <c r="U53" s="400"/>
      <c r="V53" s="400"/>
      <c r="Y53" s="534"/>
    </row>
    <row r="54" spans="1:25" ht="15" customHeight="1" x14ac:dyDescent="0.2">
      <c r="A54" s="879"/>
      <c r="B54" s="830" t="s">
        <v>301</v>
      </c>
      <c r="C54" s="880">
        <f>C51</f>
        <v>24303.161796641438</v>
      </c>
      <c r="D54" s="881">
        <f>E8</f>
        <v>565.73895526375509</v>
      </c>
      <c r="E54" s="401">
        <f>C54*D54</f>
        <v>13749245.364437932</v>
      </c>
      <c r="F54" s="831"/>
      <c r="G54" s="832"/>
      <c r="H54" s="831"/>
      <c r="I54" s="831"/>
      <c r="J54" s="832"/>
      <c r="K54" s="832"/>
      <c r="L54" s="872"/>
      <c r="N54" s="550"/>
      <c r="O54" s="398" t="s">
        <v>301</v>
      </c>
      <c r="P54" s="557">
        <f>P51</f>
        <v>24693.378362417825</v>
      </c>
      <c r="Q54" s="558">
        <f>D54</f>
        <v>565.73895526375509</v>
      </c>
      <c r="R54" s="559">
        <f>P54*Q54</f>
        <v>13970006.076686876</v>
      </c>
      <c r="S54" s="400"/>
      <c r="U54" s="400"/>
      <c r="V54" s="400"/>
      <c r="Y54" s="534"/>
    </row>
    <row r="55" spans="1:25" x14ac:dyDescent="0.2">
      <c r="A55" s="871"/>
      <c r="B55" s="830" t="s">
        <v>302</v>
      </c>
      <c r="C55" s="880">
        <f>C47</f>
        <v>3247.2322239031796</v>
      </c>
      <c r="D55" s="881">
        <f>I15*-1</f>
        <v>-658.30766645899507</v>
      </c>
      <c r="E55" s="560">
        <f>C55*D55</f>
        <v>-2137677.8677681549</v>
      </c>
      <c r="F55" s="831"/>
      <c r="G55" s="831"/>
      <c r="H55" s="831"/>
      <c r="I55" s="831"/>
      <c r="J55" s="832"/>
      <c r="K55" s="832"/>
      <c r="L55" s="872"/>
      <c r="N55" s="533"/>
      <c r="O55" s="398" t="s">
        <v>302</v>
      </c>
      <c r="P55" s="557">
        <f>P47</f>
        <v>3666.2355669882609</v>
      </c>
      <c r="Q55" s="558">
        <f t="shared" ref="Q55:Q61" si="3">D55</f>
        <v>-658.30766645899507</v>
      </c>
      <c r="R55" s="560">
        <f>P55*Q55</f>
        <v>-2413510.9807930128</v>
      </c>
      <c r="S55" s="400"/>
      <c r="T55" s="400"/>
      <c r="U55" s="400"/>
      <c r="V55" s="400"/>
      <c r="Y55" s="534"/>
    </row>
    <row r="56" spans="1:25" x14ac:dyDescent="0.2">
      <c r="A56" s="871"/>
      <c r="B56" s="830" t="s">
        <v>303</v>
      </c>
      <c r="C56" s="880">
        <f>C48</f>
        <v>0</v>
      </c>
      <c r="D56" s="881">
        <v>0</v>
      </c>
      <c r="E56" s="560">
        <f>C56*D56</f>
        <v>0</v>
      </c>
      <c r="F56" s="831"/>
      <c r="G56" s="831"/>
      <c r="H56" s="831"/>
      <c r="I56" s="831"/>
      <c r="J56" s="831"/>
      <c r="K56" s="832"/>
      <c r="L56" s="872"/>
      <c r="N56" s="533"/>
      <c r="O56" s="398" t="s">
        <v>303</v>
      </c>
      <c r="P56" s="557">
        <f>P48</f>
        <v>0</v>
      </c>
      <c r="Q56" s="558">
        <f t="shared" si="3"/>
        <v>0</v>
      </c>
      <c r="R56" s="560">
        <f>P56*Q56</f>
        <v>0</v>
      </c>
      <c r="S56" s="400"/>
      <c r="T56" s="400"/>
      <c r="U56" s="400"/>
      <c r="V56" s="400"/>
      <c r="W56" s="400"/>
      <c r="Y56" s="534"/>
    </row>
    <row r="57" spans="1:25" x14ac:dyDescent="0.2">
      <c r="A57" s="871"/>
      <c r="B57" s="830" t="s">
        <v>304</v>
      </c>
      <c r="C57" s="880">
        <f>C55</f>
        <v>3247.2322239031796</v>
      </c>
      <c r="D57" s="560">
        <f>-(Inputs!C9+Inputs!C10)</f>
        <v>-41.086206896551722</v>
      </c>
      <c r="E57" s="560">
        <f t="shared" ref="E57:E61" si="4">C57*D57</f>
        <v>-133416.45499243581</v>
      </c>
      <c r="F57" s="831"/>
      <c r="G57" s="831"/>
      <c r="H57" s="831"/>
      <c r="I57" s="830"/>
      <c r="J57" s="831"/>
      <c r="K57" s="832"/>
      <c r="L57" s="872"/>
      <c r="N57" s="533"/>
      <c r="O57" s="398" t="s">
        <v>304</v>
      </c>
      <c r="P57" s="557">
        <f>P55</f>
        <v>3666.2355669882609</v>
      </c>
      <c r="Q57" s="558">
        <f t="shared" si="3"/>
        <v>-41.086206896551722</v>
      </c>
      <c r="R57" s="560">
        <f t="shared" ref="R57:R61" si="5">P57*Q57</f>
        <v>-150631.71303677629</v>
      </c>
      <c r="S57" s="400"/>
      <c r="T57" s="400"/>
      <c r="U57" s="400"/>
      <c r="V57" s="398"/>
      <c r="W57" s="400"/>
      <c r="Y57" s="534"/>
    </row>
    <row r="58" spans="1:25" x14ac:dyDescent="0.2">
      <c r="A58" s="871"/>
      <c r="B58" s="830" t="s">
        <v>305</v>
      </c>
      <c r="C58" s="880">
        <f>C49</f>
        <v>24394.232223903178</v>
      </c>
      <c r="D58" s="560">
        <f>-('Spur-Netback'!E106+'Spur-Netback'!E107+'Spur-Netback'!E114+'Spur-Netback'!E115+'Spur-Netback'!E116+'Spur-Netback'!E117+'Spur-Netback'!E118)</f>
        <v>-25.530000000000005</v>
      </c>
      <c r="E58" s="560">
        <f t="shared" si="4"/>
        <v>-622784.74867624824</v>
      </c>
      <c r="F58" s="831"/>
      <c r="G58" s="831"/>
      <c r="H58" s="831"/>
      <c r="I58" s="830" t="s">
        <v>306</v>
      </c>
      <c r="J58" s="882">
        <f>E54</f>
        <v>13749245.364437932</v>
      </c>
      <c r="K58" s="689">
        <f>J58/$C$46</f>
        <v>650.17474650957263</v>
      </c>
      <c r="L58" s="872"/>
      <c r="N58" s="533"/>
      <c r="O58" s="398" t="s">
        <v>305</v>
      </c>
      <c r="P58" s="557">
        <f>P51</f>
        <v>24693.378362417825</v>
      </c>
      <c r="Q58" s="558">
        <f t="shared" si="3"/>
        <v>-25.530000000000005</v>
      </c>
      <c r="R58" s="560">
        <f t="shared" si="5"/>
        <v>-630421.94959252723</v>
      </c>
      <c r="S58" s="400"/>
      <c r="T58" s="400"/>
      <c r="U58" s="400"/>
      <c r="V58" s="398"/>
      <c r="W58" s="561"/>
      <c r="X58" s="562"/>
      <c r="Y58" s="534"/>
    </row>
    <row r="59" spans="1:25" x14ac:dyDescent="0.2">
      <c r="A59" s="871"/>
      <c r="B59" s="830" t="s">
        <v>307</v>
      </c>
      <c r="C59" s="880">
        <f>C49*Inputs!C26</f>
        <v>48.788464447806355</v>
      </c>
      <c r="D59" s="560">
        <f>D54*-1</f>
        <v>-565.73895526375509</v>
      </c>
      <c r="E59" s="560">
        <f t="shared" si="4"/>
        <v>-27601.534905624823</v>
      </c>
      <c r="F59" s="831"/>
      <c r="G59" s="831"/>
      <c r="H59" s="831"/>
      <c r="I59" s="830" t="s">
        <v>308</v>
      </c>
      <c r="J59" s="882">
        <f>E55+E56</f>
        <v>-2137677.8677681549</v>
      </c>
      <c r="K59" s="689">
        <f t="shared" ref="K59:K61" si="6">J59/$C$46</f>
        <v>-101.08657813250839</v>
      </c>
      <c r="L59" s="872"/>
      <c r="N59" s="533"/>
      <c r="O59" s="398" t="s">
        <v>307</v>
      </c>
      <c r="P59" s="557">
        <f>P51*0.001</f>
        <v>24.693378362417825</v>
      </c>
      <c r="Q59" s="558">
        <f t="shared" si="3"/>
        <v>-565.73895526375509</v>
      </c>
      <c r="R59" s="560">
        <f t="shared" si="5"/>
        <v>-13970.006076686876</v>
      </c>
      <c r="S59" s="400"/>
      <c r="T59" s="400"/>
      <c r="U59" s="400"/>
      <c r="V59" s="398"/>
      <c r="W59" s="561"/>
      <c r="X59" s="562"/>
      <c r="Y59" s="534"/>
    </row>
    <row r="60" spans="1:25" x14ac:dyDescent="0.2">
      <c r="A60" s="871"/>
      <c r="B60" s="830" t="s">
        <v>309</v>
      </c>
      <c r="C60" s="880">
        <v>0</v>
      </c>
      <c r="D60" s="560">
        <v>0</v>
      </c>
      <c r="E60" s="560">
        <f t="shared" si="4"/>
        <v>0</v>
      </c>
      <c r="F60" s="831"/>
      <c r="G60" s="831"/>
      <c r="H60" s="831"/>
      <c r="I60" s="830" t="s">
        <v>310</v>
      </c>
      <c r="J60" s="882">
        <f>E57</f>
        <v>-133416.45499243581</v>
      </c>
      <c r="K60" s="689">
        <f t="shared" si="6"/>
        <v>-6.3090015128593091</v>
      </c>
      <c r="L60" s="872"/>
      <c r="N60" s="533"/>
      <c r="O60" s="398" t="s">
        <v>309</v>
      </c>
      <c r="P60" s="557">
        <v>0</v>
      </c>
      <c r="Q60" s="560">
        <f t="shared" si="3"/>
        <v>0</v>
      </c>
      <c r="R60" s="560">
        <f t="shared" si="5"/>
        <v>0</v>
      </c>
      <c r="S60" s="400"/>
      <c r="T60" s="400"/>
      <c r="U60" s="400"/>
      <c r="V60" s="398"/>
      <c r="W60" s="561"/>
      <c r="X60" s="562"/>
      <c r="Y60" s="534"/>
    </row>
    <row r="61" spans="1:25" x14ac:dyDescent="0.2">
      <c r="A61" s="871"/>
      <c r="B61" s="830" t="s">
        <v>307</v>
      </c>
      <c r="C61" s="563">
        <v>0</v>
      </c>
      <c r="D61" s="602">
        <v>0</v>
      </c>
      <c r="E61" s="401">
        <f t="shared" si="4"/>
        <v>0</v>
      </c>
      <c r="F61" s="831"/>
      <c r="G61" s="831"/>
      <c r="H61" s="831"/>
      <c r="I61" s="830" t="s">
        <v>311</v>
      </c>
      <c r="J61" s="882">
        <f>E58+E59+E60+E61</f>
        <v>-650386.28358187305</v>
      </c>
      <c r="K61" s="689">
        <f t="shared" si="6"/>
        <v>-30.755486999662981</v>
      </c>
      <c r="L61" s="872"/>
      <c r="N61" s="533"/>
      <c r="O61" s="398" t="s">
        <v>307</v>
      </c>
      <c r="P61" s="563">
        <v>0</v>
      </c>
      <c r="Q61" s="602">
        <f t="shared" si="3"/>
        <v>0</v>
      </c>
      <c r="R61" s="559">
        <f t="shared" si="5"/>
        <v>0</v>
      </c>
      <c r="S61" s="400"/>
      <c r="T61" s="400"/>
      <c r="U61" s="400"/>
      <c r="V61" s="398"/>
      <c r="W61" s="561"/>
      <c r="X61" s="562"/>
      <c r="Y61" s="534"/>
    </row>
    <row r="62" spans="1:25" ht="18.75" thickBot="1" x14ac:dyDescent="0.3">
      <c r="A62" s="883"/>
      <c r="B62" s="832"/>
      <c r="C62" s="695"/>
      <c r="D62" s="566" t="s">
        <v>312</v>
      </c>
      <c r="E62" s="612">
        <f>SUM(E54:E61)</f>
        <v>10827764.758095467</v>
      </c>
      <c r="F62" s="831"/>
      <c r="G62" s="831"/>
      <c r="H62" s="832"/>
      <c r="I62" s="830"/>
      <c r="J62" s="690">
        <f>SUM(J58:J61)</f>
        <v>10827764.758095467</v>
      </c>
      <c r="K62" s="401">
        <f>SUM(K58:K61)</f>
        <v>512.02367986454203</v>
      </c>
      <c r="L62" s="872"/>
      <c r="N62" s="564"/>
      <c r="P62" s="565"/>
      <c r="Q62" s="566" t="s">
        <v>312</v>
      </c>
      <c r="R62" s="567">
        <f>SUM(R54:R61)</f>
        <v>10761471.427187875</v>
      </c>
      <c r="S62" s="400"/>
      <c r="T62" s="400"/>
      <c r="V62" s="398"/>
      <c r="W62" s="561"/>
      <c r="X62" s="401"/>
      <c r="Y62" s="534"/>
    </row>
    <row r="63" spans="1:25" ht="13.5" thickTop="1" x14ac:dyDescent="0.2">
      <c r="A63" s="884"/>
      <c r="B63" s="832"/>
      <c r="C63" s="885"/>
      <c r="D63" s="830" t="s">
        <v>313</v>
      </c>
      <c r="E63" s="886">
        <f>C46</f>
        <v>21147</v>
      </c>
      <c r="F63" s="874" t="s">
        <v>130</v>
      </c>
      <c r="G63" s="832"/>
      <c r="H63" s="831"/>
      <c r="I63" s="887"/>
      <c r="J63" s="832"/>
      <c r="K63" s="888">
        <f>E64</f>
        <v>512.02367986454192</v>
      </c>
      <c r="L63" s="872"/>
      <c r="N63" s="568"/>
      <c r="P63" s="569"/>
      <c r="Q63" s="398" t="s">
        <v>313</v>
      </c>
      <c r="R63" s="570">
        <f>P46</f>
        <v>21147</v>
      </c>
      <c r="S63" s="537" t="s">
        <v>130</v>
      </c>
      <c r="U63" s="400"/>
      <c r="V63" s="571"/>
      <c r="X63" s="572"/>
      <c r="Y63" s="534"/>
    </row>
    <row r="64" spans="1:25" s="574" customFormat="1" ht="18" x14ac:dyDescent="0.25">
      <c r="A64" s="889"/>
      <c r="B64" s="890"/>
      <c r="C64" s="890"/>
      <c r="D64" s="830" t="s">
        <v>314</v>
      </c>
      <c r="E64" s="691">
        <f>E62/E63</f>
        <v>512.02367986454192</v>
      </c>
      <c r="F64" s="874" t="s">
        <v>315</v>
      </c>
      <c r="G64" s="890"/>
      <c r="H64" s="890"/>
      <c r="I64" s="891"/>
      <c r="J64" s="890"/>
      <c r="K64" s="892">
        <f>K62-K63</f>
        <v>0</v>
      </c>
      <c r="L64" s="893" t="s">
        <v>316</v>
      </c>
      <c r="N64" s="573"/>
      <c r="Q64" s="398" t="s">
        <v>332</v>
      </c>
      <c r="R64" s="575">
        <f>R62/R63</f>
        <v>508.88879875102259</v>
      </c>
      <c r="S64" s="537" t="s">
        <v>315</v>
      </c>
      <c r="V64" s="576"/>
      <c r="X64" s="577"/>
      <c r="Y64" s="578"/>
    </row>
    <row r="65" spans="1:25" x14ac:dyDescent="0.2">
      <c r="A65" s="889"/>
      <c r="B65" s="885"/>
      <c r="C65" s="832"/>
      <c r="D65" s="830"/>
      <c r="E65" s="692">
        <f>E64/6.29287</f>
        <v>81.365685269923247</v>
      </c>
      <c r="F65" s="831" t="s">
        <v>317</v>
      </c>
      <c r="G65" s="832"/>
      <c r="H65" s="832"/>
      <c r="I65" s="887"/>
      <c r="J65" s="832"/>
      <c r="K65" s="832"/>
      <c r="L65" s="872"/>
      <c r="N65" s="573"/>
      <c r="O65" s="569"/>
      <c r="Q65" s="398"/>
      <c r="R65" s="579">
        <f>R64/6.29287</f>
        <v>80.867521298075857</v>
      </c>
      <c r="S65" s="400" t="s">
        <v>317</v>
      </c>
      <c r="V65" s="571"/>
      <c r="Y65" s="534"/>
    </row>
    <row r="66" spans="1:25" x14ac:dyDescent="0.2">
      <c r="A66" s="889"/>
      <c r="B66" s="885"/>
      <c r="C66" s="832"/>
      <c r="D66" s="693"/>
      <c r="E66" s="692">
        <f>E65/B7</f>
        <v>59.523527027267448</v>
      </c>
      <c r="F66" s="831" t="s">
        <v>318</v>
      </c>
      <c r="G66" s="832"/>
      <c r="H66" s="832"/>
      <c r="I66" s="832"/>
      <c r="J66" s="832"/>
      <c r="K66" s="832"/>
      <c r="L66" s="872"/>
      <c r="N66" s="573"/>
      <c r="O66" s="569"/>
      <c r="Q66" s="580"/>
      <c r="R66" s="581"/>
      <c r="S66" s="400"/>
      <c r="Y66" s="534"/>
    </row>
    <row r="67" spans="1:25" x14ac:dyDescent="0.2">
      <c r="A67" s="889"/>
      <c r="B67" s="885"/>
      <c r="C67" s="832"/>
      <c r="D67" s="693" t="s">
        <v>419</v>
      </c>
      <c r="E67" s="560">
        <f>E66-B6</f>
        <v>-19.096472972732556</v>
      </c>
      <c r="F67" s="831" t="s">
        <v>318</v>
      </c>
      <c r="G67" s="832"/>
      <c r="H67" s="832"/>
      <c r="I67" s="832"/>
      <c r="J67" s="832"/>
      <c r="K67" s="832"/>
      <c r="L67" s="872"/>
      <c r="N67" s="573"/>
      <c r="O67" s="569"/>
      <c r="Q67" s="580"/>
      <c r="R67" s="560"/>
      <c r="S67" s="400"/>
      <c r="Y67" s="534"/>
    </row>
    <row r="68" spans="1:25" x14ac:dyDescent="0.2">
      <c r="A68" s="889"/>
      <c r="B68" s="885"/>
      <c r="C68" s="890"/>
      <c r="D68" s="693" t="s">
        <v>418</v>
      </c>
      <c r="E68" s="560">
        <f>E67-B8</f>
        <v>-6.2764729727325559</v>
      </c>
      <c r="F68" s="831" t="s">
        <v>318</v>
      </c>
      <c r="G68" s="832"/>
      <c r="H68" s="832"/>
      <c r="I68" s="832"/>
      <c r="J68" s="832"/>
      <c r="K68" s="832"/>
      <c r="L68" s="872"/>
      <c r="N68" s="573"/>
      <c r="O68" s="569"/>
      <c r="P68" s="574"/>
      <c r="Q68" s="580"/>
      <c r="R68" s="560"/>
      <c r="S68" s="400"/>
      <c r="Y68" s="534"/>
    </row>
    <row r="69" spans="1:25" x14ac:dyDescent="0.2">
      <c r="A69" s="889"/>
      <c r="B69" s="885"/>
      <c r="C69" s="890"/>
      <c r="D69" s="693" t="s">
        <v>420</v>
      </c>
      <c r="E69" s="901">
        <f>E64-(D54+D58+(C59/C54)*D59)</f>
        <v>-27.049557539266289</v>
      </c>
      <c r="F69" s="874" t="s">
        <v>315</v>
      </c>
      <c r="G69" s="832"/>
      <c r="H69" s="832"/>
      <c r="I69" s="832"/>
      <c r="J69" s="832"/>
      <c r="K69" s="832"/>
      <c r="L69" s="872"/>
      <c r="N69" s="573"/>
      <c r="O69" s="569"/>
      <c r="P69" s="574"/>
      <c r="Q69" s="580" t="s">
        <v>331</v>
      </c>
      <c r="R69" s="582">
        <f>R64-(Q54+Q58+P59/P54*Q59)</f>
        <v>-30.754417557468742</v>
      </c>
      <c r="S69" s="400"/>
      <c r="Y69" s="534"/>
    </row>
    <row r="70" spans="1:25" ht="13.5" thickBot="1" x14ac:dyDescent="0.25">
      <c r="A70" s="894"/>
      <c r="B70" s="828"/>
      <c r="C70" s="829"/>
      <c r="D70" s="830" t="s">
        <v>420</v>
      </c>
      <c r="E70" s="901">
        <f>(((C55-C50-C59)*D54)-(C55*I15))/C46</f>
        <v>-17.956009135975595</v>
      </c>
      <c r="F70" s="831" t="s">
        <v>315</v>
      </c>
      <c r="G70" s="832" t="s">
        <v>411</v>
      </c>
      <c r="H70" s="832"/>
      <c r="I70" s="832"/>
      <c r="J70" s="832"/>
      <c r="K70" s="832"/>
      <c r="L70" s="872"/>
      <c r="N70" s="583"/>
      <c r="O70" s="584"/>
      <c r="P70" s="585"/>
      <c r="Q70" s="586"/>
      <c r="R70" s="586"/>
      <c r="S70" s="586"/>
      <c r="T70" s="586"/>
      <c r="U70" s="586"/>
      <c r="V70" s="586"/>
      <c r="W70" s="586"/>
      <c r="X70" s="586"/>
      <c r="Y70" s="587"/>
    </row>
    <row r="71" spans="1:25" ht="14.25" thickTop="1" thickBot="1" x14ac:dyDescent="0.25">
      <c r="A71" s="895"/>
      <c r="B71" s="896"/>
      <c r="C71" s="897"/>
      <c r="D71" s="404" t="s">
        <v>416</v>
      </c>
      <c r="E71" s="898">
        <f>(E55+E56+E57)/C51</f>
        <v>-93.448512657083299</v>
      </c>
      <c r="F71" s="899" t="s">
        <v>315</v>
      </c>
      <c r="G71" s="403" t="s">
        <v>492</v>
      </c>
      <c r="H71" s="403"/>
      <c r="I71" s="403"/>
      <c r="J71" s="403"/>
      <c r="K71" s="403"/>
      <c r="L71" s="900"/>
      <c r="N71" s="827"/>
      <c r="O71" s="828"/>
      <c r="P71" s="829"/>
      <c r="Q71" s="832"/>
      <c r="R71" s="832"/>
      <c r="S71" s="832"/>
      <c r="T71" s="832"/>
      <c r="U71" s="832"/>
      <c r="V71" s="832"/>
      <c r="W71" s="832"/>
      <c r="X71" s="832"/>
      <c r="Y71" s="832"/>
    </row>
    <row r="72" spans="1:25" x14ac:dyDescent="0.2">
      <c r="A72" s="588"/>
      <c r="B72" s="589"/>
      <c r="C72" s="590"/>
      <c r="D72" s="406"/>
      <c r="E72" s="406"/>
      <c r="F72" s="406"/>
      <c r="G72" s="406"/>
      <c r="H72" s="406"/>
      <c r="I72" s="406"/>
      <c r="J72" s="406"/>
      <c r="K72" s="406"/>
      <c r="L72" s="406"/>
    </row>
    <row r="73" spans="1:25" ht="13.5" thickBot="1" x14ac:dyDescent="0.25">
      <c r="A73" s="406"/>
      <c r="B73" s="406"/>
      <c r="C73" s="406"/>
      <c r="D73" s="406"/>
      <c r="E73" s="406"/>
      <c r="F73" s="406"/>
      <c r="G73" s="406"/>
      <c r="H73" s="406"/>
      <c r="I73" s="406"/>
      <c r="J73" s="406"/>
      <c r="K73" s="406"/>
      <c r="L73" s="406"/>
    </row>
    <row r="74" spans="1:25" ht="27.75" thickTop="1" thickBot="1" x14ac:dyDescent="0.45">
      <c r="A74" s="621" t="s">
        <v>373</v>
      </c>
      <c r="B74" s="622"/>
      <c r="C74" s="622"/>
      <c r="D74" s="622"/>
      <c r="E74" s="623"/>
      <c r="F74" s="624"/>
      <c r="G74" s="625"/>
      <c r="H74" s="625"/>
      <c r="I74" s="625"/>
      <c r="J74" s="625"/>
      <c r="K74" s="625"/>
      <c r="L74" s="626"/>
      <c r="Q74" s="591"/>
      <c r="T74" s="400"/>
    </row>
    <row r="75" spans="1:25" x14ac:dyDescent="0.2">
      <c r="A75" s="718" t="s">
        <v>371</v>
      </c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20"/>
    </row>
    <row r="76" spans="1:25" x14ac:dyDescent="0.2">
      <c r="A76" s="721"/>
      <c r="B76" s="722" t="s">
        <v>231</v>
      </c>
      <c r="C76" s="723"/>
      <c r="D76" s="724"/>
      <c r="E76" s="725"/>
      <c r="F76" s="725"/>
      <c r="G76" s="725"/>
      <c r="H76" s="665" t="s">
        <v>127</v>
      </c>
      <c r="I76" s="666"/>
      <c r="J76" s="666"/>
      <c r="K76" s="667"/>
      <c r="L76" s="726"/>
    </row>
    <row r="77" spans="1:25" x14ac:dyDescent="0.2">
      <c r="A77" s="700"/>
      <c r="B77" s="727" t="s">
        <v>130</v>
      </c>
      <c r="C77" s="728" t="s">
        <v>234</v>
      </c>
      <c r="D77" s="729" t="s">
        <v>235</v>
      </c>
      <c r="F77" s="45"/>
      <c r="G77" s="45"/>
      <c r="H77" s="668" t="s">
        <v>236</v>
      </c>
      <c r="I77" s="669" t="s">
        <v>237</v>
      </c>
      <c r="J77" s="669" t="s">
        <v>238</v>
      </c>
      <c r="K77" s="670" t="s">
        <v>239</v>
      </c>
      <c r="L77" s="726"/>
    </row>
    <row r="78" spans="1:25" x14ac:dyDescent="0.2">
      <c r="A78" s="712" t="s">
        <v>242</v>
      </c>
      <c r="B78" s="639">
        <f>$B$22</f>
        <v>21147</v>
      </c>
      <c r="C78" s="639">
        <f>$C$22</f>
        <v>965</v>
      </c>
      <c r="D78" s="730">
        <f>B78/B82</f>
        <v>0.87466112670511797</v>
      </c>
      <c r="E78" s="45"/>
      <c r="F78" s="45"/>
      <c r="G78" s="45"/>
      <c r="H78" s="671" t="s">
        <v>112</v>
      </c>
      <c r="I78" s="672" t="s">
        <v>130</v>
      </c>
      <c r="J78" s="673"/>
      <c r="K78" s="674"/>
      <c r="L78" s="726"/>
    </row>
    <row r="79" spans="1:25" x14ac:dyDescent="0.2">
      <c r="A79" s="712" t="s">
        <v>245</v>
      </c>
      <c r="B79" s="639">
        <f>$B$78*$E$79</f>
        <v>674.58929999999998</v>
      </c>
      <c r="C79" s="639">
        <v>575</v>
      </c>
      <c r="D79" s="730">
        <f>B79/B82</f>
        <v>2.7901689941893262E-2</v>
      </c>
      <c r="E79" s="763">
        <f>Inputs!C25</f>
        <v>3.1899999999999998E-2</v>
      </c>
      <c r="F79" s="94" t="s">
        <v>375</v>
      </c>
      <c r="G79" s="45"/>
      <c r="H79" s="627">
        <f>IFERROR(26900*F91*(100-F91)^0.819*(I91-J91)^2.28,0)</f>
        <v>0.22782348435166905</v>
      </c>
      <c r="I79" s="628">
        <f>IFERROR(H79/100*(B91+D91),0)</f>
        <v>49.714705084170987</v>
      </c>
      <c r="J79" s="628">
        <f>B91+D91</f>
        <v>21821.5893</v>
      </c>
      <c r="K79" s="629">
        <f>B91+D91-I79</f>
        <v>21771.874594915829</v>
      </c>
      <c r="L79" s="726"/>
    </row>
    <row r="80" spans="1:25" x14ac:dyDescent="0.2">
      <c r="A80" s="712" t="s">
        <v>248</v>
      </c>
      <c r="B80" s="639">
        <f>MAX(0,($B$78*$C$78+$B$79*$C$79-$D$49*$B$78-$D$49*$B$79)/($D$49-C80))</f>
        <v>2355.7742003782128</v>
      </c>
      <c r="C80" s="639">
        <f>$C$24</f>
        <v>660</v>
      </c>
      <c r="D80" s="730">
        <f>B80/B82</f>
        <v>9.7437183352988885E-2</v>
      </c>
      <c r="E80" s="735">
        <f>D49</f>
        <v>924.4</v>
      </c>
      <c r="F80" s="76" t="s">
        <v>423</v>
      </c>
      <c r="G80" s="45"/>
      <c r="H80" s="627">
        <f>IFERROR(26900*F92*(100-F92)^0.819*(I92-J92)^2.28,0)</f>
        <v>0.28297561843050922</v>
      </c>
      <c r="I80" s="628">
        <f>IFERROR(H80/100*(B92+D92),0)</f>
        <v>68.275363391224616</v>
      </c>
      <c r="J80" s="628">
        <f>B92+D92</f>
        <v>24127.648795294041</v>
      </c>
      <c r="K80" s="629">
        <f>B92+D92-I80</f>
        <v>24059.373431902815</v>
      </c>
      <c r="L80" s="726"/>
    </row>
    <row r="81" spans="1:12" ht="13.5" thickBot="1" x14ac:dyDescent="0.25">
      <c r="A81" s="731"/>
      <c r="B81" s="458"/>
      <c r="C81" s="732"/>
      <c r="D81" s="733"/>
      <c r="E81" s="45"/>
      <c r="F81" s="45"/>
      <c r="G81" s="45"/>
      <c r="H81" s="630">
        <f>IFERROR(26900*F93*(100-F93)^0.819*(I93-J93)^2.28,0)</f>
        <v>0</v>
      </c>
      <c r="I81" s="631">
        <f>IFERROR(H81/100*(B93+D93),0)</f>
        <v>0</v>
      </c>
      <c r="J81" s="631">
        <f>B93+D93</f>
        <v>24059.373431902815</v>
      </c>
      <c r="K81" s="632">
        <f>B93+D93-I81</f>
        <v>24059.373431902815</v>
      </c>
      <c r="L81" s="726"/>
    </row>
    <row r="82" spans="1:12" ht="13.5" thickBot="1" x14ac:dyDescent="0.25">
      <c r="A82" s="712" t="s">
        <v>251</v>
      </c>
      <c r="B82" s="461">
        <f>SUM(B78:B81)</f>
        <v>24177.363500378211</v>
      </c>
      <c r="C82" s="45"/>
      <c r="D82" s="653">
        <f>SUM(D78:D81)</f>
        <v>1</v>
      </c>
      <c r="E82" s="45"/>
      <c r="F82" s="45"/>
      <c r="G82" s="45"/>
      <c r="H82" s="633">
        <f>IF(I82=0,"",(I82/K82))</f>
        <v>4.9041205835784717E-3</v>
      </c>
      <c r="I82" s="675">
        <f>(SUM(I79:I81))*1</f>
        <v>117.9900684753956</v>
      </c>
      <c r="J82" s="676"/>
      <c r="K82" s="677">
        <f>K81</f>
        <v>24059.373431902815</v>
      </c>
      <c r="L82" s="726"/>
    </row>
    <row r="83" spans="1:12" x14ac:dyDescent="0.2">
      <c r="A83" s="712" t="s">
        <v>253</v>
      </c>
      <c r="B83" s="639">
        <f>SUMPRODUCT(B78:B81,C78:C81)/SUM(B78:B81)</f>
        <v>924.40000000000009</v>
      </c>
      <c r="C83" s="756" t="str">
        <f>IF(B83&gt;E83, "Okay", "Check Overblending!")</f>
        <v>Okay</v>
      </c>
      <c r="E83" s="757">
        <f>Inputs!C17</f>
        <v>924.2</v>
      </c>
      <c r="F83" s="76" t="s">
        <v>424</v>
      </c>
      <c r="G83" s="45"/>
      <c r="H83" s="45"/>
      <c r="I83" s="45"/>
      <c r="J83" s="77" t="s">
        <v>251</v>
      </c>
      <c r="K83" s="629">
        <f>B82</f>
        <v>24177.363500378211</v>
      </c>
      <c r="L83" s="726"/>
    </row>
    <row r="84" spans="1:12" x14ac:dyDescent="0.2">
      <c r="A84" s="736"/>
      <c r="B84" s="735">
        <f>D104</f>
        <v>924.40000000000009</v>
      </c>
      <c r="C84" s="45"/>
      <c r="D84" s="45"/>
      <c r="E84" s="737"/>
      <c r="F84" s="45"/>
      <c r="G84" s="45"/>
      <c r="H84" s="45"/>
      <c r="I84" s="45"/>
      <c r="J84" s="77" t="s">
        <v>259</v>
      </c>
      <c r="K84" s="629">
        <f>I82*-1</f>
        <v>-117.9900684753956</v>
      </c>
      <c r="L84" s="726"/>
    </row>
    <row r="85" spans="1:12" x14ac:dyDescent="0.2">
      <c r="A85" s="736"/>
      <c r="B85" s="45"/>
      <c r="C85" s="45"/>
      <c r="D85" s="45"/>
      <c r="E85" s="45"/>
      <c r="F85" s="45"/>
      <c r="G85" s="45"/>
      <c r="H85" s="45"/>
      <c r="I85" s="45"/>
      <c r="J85" s="77" t="s">
        <v>260</v>
      </c>
      <c r="K85" s="634">
        <f>K83+K84</f>
        <v>24059.373431902815</v>
      </c>
      <c r="L85" s="726"/>
    </row>
    <row r="86" spans="1:12" x14ac:dyDescent="0.2">
      <c r="A86" s="736" t="s">
        <v>377</v>
      </c>
      <c r="B86" s="45"/>
      <c r="C86" s="45"/>
      <c r="D86" s="45"/>
      <c r="E86" s="45"/>
      <c r="F86" s="45"/>
      <c r="G86" s="45"/>
      <c r="H86" s="45"/>
      <c r="I86" s="45"/>
      <c r="J86" s="77" t="s">
        <v>262</v>
      </c>
      <c r="K86" s="635">
        <f>I82/B82</f>
        <v>4.8801875553366215E-3</v>
      </c>
      <c r="L86" s="726"/>
    </row>
    <row r="87" spans="1:12" x14ac:dyDescent="0.2">
      <c r="A87" s="738" t="s">
        <v>263</v>
      </c>
      <c r="B87" s="45"/>
      <c r="C87" s="45"/>
      <c r="D87" s="45"/>
      <c r="E87" s="45"/>
      <c r="F87" s="45"/>
      <c r="G87" s="45"/>
      <c r="H87" s="45"/>
      <c r="I87" s="45"/>
      <c r="J87" s="45"/>
      <c r="L87" s="726"/>
    </row>
    <row r="88" spans="1:12" x14ac:dyDescent="0.2">
      <c r="A88" s="700"/>
      <c r="B88" s="822" t="s">
        <v>265</v>
      </c>
      <c r="C88" s="823"/>
      <c r="D88" s="822" t="s">
        <v>266</v>
      </c>
      <c r="E88" s="823"/>
      <c r="F88" s="45"/>
      <c r="G88" s="45"/>
      <c r="H88" s="45"/>
      <c r="I88" s="45"/>
      <c r="J88" s="45"/>
      <c r="K88" s="45"/>
      <c r="L88" s="726"/>
    </row>
    <row r="89" spans="1:12" ht="48" x14ac:dyDescent="0.2">
      <c r="A89" s="701"/>
      <c r="B89" s="702" t="s">
        <v>268</v>
      </c>
      <c r="C89" s="702" t="s">
        <v>269</v>
      </c>
      <c r="D89" s="702" t="s">
        <v>270</v>
      </c>
      <c r="E89" s="702" t="s">
        <v>269</v>
      </c>
      <c r="F89" s="703" t="s">
        <v>271</v>
      </c>
      <c r="G89" s="703" t="s">
        <v>272</v>
      </c>
      <c r="H89" s="703" t="s">
        <v>273</v>
      </c>
      <c r="I89" s="702" t="s">
        <v>274</v>
      </c>
      <c r="J89" s="702" t="s">
        <v>275</v>
      </c>
      <c r="K89" s="45"/>
      <c r="L89" s="726"/>
    </row>
    <row r="90" spans="1:12" x14ac:dyDescent="0.2">
      <c r="A90" s="704"/>
      <c r="B90" s="705" t="s">
        <v>130</v>
      </c>
      <c r="C90" s="706" t="s">
        <v>277</v>
      </c>
      <c r="D90" s="705" t="s">
        <v>130</v>
      </c>
      <c r="E90" s="706" t="s">
        <v>277</v>
      </c>
      <c r="F90" s="707" t="s">
        <v>112</v>
      </c>
      <c r="G90" s="707" t="s">
        <v>112</v>
      </c>
      <c r="H90" s="707" t="s">
        <v>112</v>
      </c>
      <c r="I90" s="707"/>
      <c r="J90" s="739"/>
      <c r="K90" s="45"/>
      <c r="L90" s="726"/>
    </row>
    <row r="91" spans="1:12" x14ac:dyDescent="0.2">
      <c r="A91" s="708" t="s">
        <v>245</v>
      </c>
      <c r="B91" s="709">
        <f>B79</f>
        <v>674.58929999999998</v>
      </c>
      <c r="C91" s="710">
        <f>C79</f>
        <v>575</v>
      </c>
      <c r="D91" s="709">
        <f>B78</f>
        <v>21147</v>
      </c>
      <c r="E91" s="710">
        <f>C78</f>
        <v>965</v>
      </c>
      <c r="F91" s="711">
        <f>IFERROR(B91/(B91+D91)*100,"")</f>
        <v>3.0913848241108632</v>
      </c>
      <c r="G91" s="711">
        <f>IFERROR(D91/(B91+D91)*100,"")</f>
        <v>96.908615175889139</v>
      </c>
      <c r="H91" s="740">
        <f>F91+G91</f>
        <v>100</v>
      </c>
      <c r="I91" s="741">
        <f>IFERROR(1/C91,"")</f>
        <v>1.7391304347826088E-3</v>
      </c>
      <c r="J91" s="742">
        <f>IFERROR(1/E91,"")</f>
        <v>1.0362694300518134E-3</v>
      </c>
      <c r="K91" s="45"/>
      <c r="L91" s="726"/>
    </row>
    <row r="92" spans="1:12" x14ac:dyDescent="0.2">
      <c r="A92" s="708" t="s">
        <v>248</v>
      </c>
      <c r="B92" s="709">
        <f>B80</f>
        <v>2355.7742003782128</v>
      </c>
      <c r="C92" s="710">
        <f>C80</f>
        <v>660</v>
      </c>
      <c r="D92" s="709">
        <f>K79</f>
        <v>21771.874594915829</v>
      </c>
      <c r="E92" s="710">
        <f>E91</f>
        <v>965</v>
      </c>
      <c r="F92" s="711">
        <f>IFERROR(B92/(B92+D92)*100,"")</f>
        <v>9.7637951396146523</v>
      </c>
      <c r="G92" s="711">
        <f>IFERROR(D92/(B92+D92)*100,"")</f>
        <v>90.236204860385357</v>
      </c>
      <c r="H92" s="740">
        <f t="shared" ref="H92:H93" si="7">F92+G92</f>
        <v>100.00000000000001</v>
      </c>
      <c r="I92" s="741">
        <f>IFERROR(1/C92,"")</f>
        <v>1.5151515151515152E-3</v>
      </c>
      <c r="J92" s="742">
        <f>IFERROR(1/E92,"")</f>
        <v>1.0362694300518134E-3</v>
      </c>
      <c r="K92" s="45"/>
      <c r="L92" s="726"/>
    </row>
    <row r="93" spans="1:12" x14ac:dyDescent="0.2">
      <c r="A93" s="712" t="s">
        <v>280</v>
      </c>
      <c r="B93" s="713">
        <f>K80</f>
        <v>24059.373431902815</v>
      </c>
      <c r="C93" s="714">
        <f>E92</f>
        <v>965</v>
      </c>
      <c r="D93" s="713">
        <f>B81</f>
        <v>0</v>
      </c>
      <c r="E93" s="714">
        <f>C81</f>
        <v>0</v>
      </c>
      <c r="F93" s="711">
        <f>IFERROR(B93/(B93+D93)*100,"")</f>
        <v>100</v>
      </c>
      <c r="G93" s="711">
        <f>IFERROR(D93/(B93+D93)*100,"")</f>
        <v>0</v>
      </c>
      <c r="H93" s="740">
        <f t="shared" si="7"/>
        <v>100</v>
      </c>
      <c r="I93" s="741">
        <f>IFERROR(1/C93,"")</f>
        <v>1.0362694300518134E-3</v>
      </c>
      <c r="J93" s="742" t="str">
        <f>IFERROR(1/E93,"")</f>
        <v/>
      </c>
      <c r="K93" s="45"/>
      <c r="L93" s="726"/>
    </row>
    <row r="94" spans="1:12" x14ac:dyDescent="0.2">
      <c r="A94" s="715" t="s">
        <v>282</v>
      </c>
      <c r="B94" s="45" t="s">
        <v>283</v>
      </c>
      <c r="C94" s="45"/>
      <c r="D94" s="45"/>
      <c r="E94" s="45"/>
      <c r="F94" s="45"/>
      <c r="G94" s="45"/>
      <c r="H94" s="45"/>
      <c r="I94" s="45"/>
      <c r="J94" s="674"/>
      <c r="K94" s="45"/>
      <c r="L94" s="726"/>
    </row>
    <row r="95" spans="1:12" x14ac:dyDescent="0.2">
      <c r="A95" s="715" t="s">
        <v>284</v>
      </c>
      <c r="B95" s="45" t="s">
        <v>285</v>
      </c>
      <c r="C95" s="45"/>
      <c r="D95" s="45"/>
      <c r="E95" s="45"/>
      <c r="F95" s="45"/>
      <c r="G95" s="45"/>
      <c r="H95" s="45"/>
      <c r="I95" s="45"/>
      <c r="J95" s="674"/>
      <c r="K95" s="45"/>
      <c r="L95" s="726"/>
    </row>
    <row r="96" spans="1:12" x14ac:dyDescent="0.2">
      <c r="A96" s="715" t="s">
        <v>287</v>
      </c>
      <c r="B96" s="45" t="s">
        <v>288</v>
      </c>
      <c r="C96" s="45"/>
      <c r="D96" s="45"/>
      <c r="E96" s="45"/>
      <c r="F96" s="45"/>
      <c r="G96" s="45"/>
      <c r="H96" s="45"/>
      <c r="I96" s="45"/>
      <c r="J96" s="674"/>
      <c r="K96" s="45"/>
      <c r="L96" s="726"/>
    </row>
    <row r="97" spans="1:17" x14ac:dyDescent="0.2">
      <c r="A97" s="716" t="s">
        <v>290</v>
      </c>
      <c r="B97" s="717" t="s">
        <v>291</v>
      </c>
      <c r="C97" s="717"/>
      <c r="D97" s="717"/>
      <c r="E97" s="717"/>
      <c r="F97" s="717"/>
      <c r="G97" s="717"/>
      <c r="H97" s="717"/>
      <c r="I97" s="717"/>
      <c r="J97" s="743"/>
      <c r="K97" s="717"/>
      <c r="L97" s="744"/>
      <c r="Q97" s="366"/>
    </row>
    <row r="98" spans="1:17" x14ac:dyDescent="0.2">
      <c r="A98" s="533"/>
      <c r="L98" s="534"/>
    </row>
    <row r="99" spans="1:17" ht="23.25" x14ac:dyDescent="0.35">
      <c r="A99" s="535" t="s">
        <v>374</v>
      </c>
      <c r="L99" s="534"/>
    </row>
    <row r="100" spans="1:17" x14ac:dyDescent="0.2">
      <c r="A100" s="533"/>
      <c r="B100" s="537"/>
      <c r="C100" s="538" t="s">
        <v>130</v>
      </c>
      <c r="D100" s="538" t="s">
        <v>277</v>
      </c>
      <c r="E100" s="539" t="s">
        <v>293</v>
      </c>
      <c r="F100" s="539" t="s">
        <v>235</v>
      </c>
      <c r="G100" s="400"/>
      <c r="H100" s="400"/>
      <c r="I100" s="400"/>
      <c r="L100" s="534"/>
    </row>
    <row r="101" spans="1:17" ht="18" x14ac:dyDescent="0.25">
      <c r="A101" s="541"/>
      <c r="B101" s="542" t="s">
        <v>294</v>
      </c>
      <c r="C101" s="543">
        <f>$B$78</f>
        <v>21147</v>
      </c>
      <c r="D101" s="543">
        <f>$C$78</f>
        <v>965</v>
      </c>
      <c r="E101" s="592"/>
      <c r="F101" s="592">
        <f>C101/C104</f>
        <v>0.87466112670511797</v>
      </c>
      <c r="G101" s="400"/>
      <c r="H101" s="400"/>
      <c r="I101" s="400"/>
      <c r="L101" s="534"/>
    </row>
    <row r="102" spans="1:17" ht="18" x14ac:dyDescent="0.25">
      <c r="A102" s="546"/>
      <c r="B102" s="542" t="s">
        <v>189</v>
      </c>
      <c r="C102" s="543">
        <f>$B$80</f>
        <v>2355.7742003782128</v>
      </c>
      <c r="D102" s="551">
        <f>$C$80</f>
        <v>660</v>
      </c>
      <c r="E102" s="592">
        <f>C102/C101</f>
        <v>0.11139992435703469</v>
      </c>
      <c r="F102" s="592">
        <f>C102/C104</f>
        <v>9.7437183352988885E-2</v>
      </c>
      <c r="G102" s="400"/>
      <c r="H102" s="536"/>
      <c r="I102" s="400"/>
      <c r="L102" s="534"/>
    </row>
    <row r="103" spans="1:17" ht="18" x14ac:dyDescent="0.25">
      <c r="A103" s="550"/>
      <c r="B103" s="542" t="s">
        <v>295</v>
      </c>
      <c r="C103" s="543">
        <f>$B$79</f>
        <v>674.58929999999998</v>
      </c>
      <c r="D103" s="551">
        <f>C79</f>
        <v>575</v>
      </c>
      <c r="E103" s="592">
        <f>C103/C101</f>
        <v>3.1899999999999998E-2</v>
      </c>
      <c r="F103" s="592">
        <f>C103/C104</f>
        <v>2.7901689941893262E-2</v>
      </c>
      <c r="G103" s="400"/>
      <c r="H103" s="536"/>
      <c r="I103" s="400"/>
      <c r="L103" s="534"/>
    </row>
    <row r="104" spans="1:17" ht="18" x14ac:dyDescent="0.25">
      <c r="A104" s="550"/>
      <c r="B104" s="542" t="s">
        <v>296</v>
      </c>
      <c r="C104" s="552">
        <f>SUM(C101:C103)</f>
        <v>24177.363500378211</v>
      </c>
      <c r="D104" s="688">
        <f>SUMPRODUCT(C101:C103,D101:D103)/SUM(C101:C103)</f>
        <v>924.40000000000009</v>
      </c>
      <c r="E104" s="592"/>
      <c r="F104" s="592">
        <f>SUM(F101:F103)</f>
        <v>1.0000000000000002</v>
      </c>
      <c r="G104" s="400"/>
      <c r="H104" s="536"/>
      <c r="I104" s="400"/>
      <c r="L104" s="534"/>
    </row>
    <row r="105" spans="1:17" ht="18" x14ac:dyDescent="0.25">
      <c r="A105" s="550"/>
      <c r="B105" s="542" t="s">
        <v>297</v>
      </c>
      <c r="C105" s="554">
        <f>I82</f>
        <v>117.9900684753956</v>
      </c>
      <c r="D105" s="555"/>
      <c r="E105" s="400"/>
      <c r="F105" s="400"/>
      <c r="G105" s="400"/>
      <c r="H105" s="400"/>
      <c r="I105" s="400"/>
      <c r="L105" s="534"/>
    </row>
    <row r="106" spans="1:17" ht="18" x14ac:dyDescent="0.25">
      <c r="A106" s="550"/>
      <c r="B106" s="542" t="s">
        <v>298</v>
      </c>
      <c r="C106" s="552">
        <f>C104-C105</f>
        <v>24059.373431902815</v>
      </c>
      <c r="D106" s="555"/>
      <c r="E106" s="400"/>
      <c r="F106" s="400"/>
      <c r="G106" s="400"/>
      <c r="H106" s="400"/>
      <c r="I106" s="400"/>
      <c r="L106" s="534"/>
    </row>
    <row r="107" spans="1:17" x14ac:dyDescent="0.2">
      <c r="A107" s="550"/>
      <c r="B107" s="400"/>
      <c r="C107" s="570"/>
      <c r="D107" s="400"/>
      <c r="E107" s="400"/>
      <c r="F107" s="400"/>
      <c r="G107" s="400"/>
      <c r="H107" s="400"/>
      <c r="I107" s="400"/>
      <c r="L107" s="534"/>
    </row>
    <row r="108" spans="1:17" x14ac:dyDescent="0.2">
      <c r="A108" s="550"/>
      <c r="B108" s="400"/>
      <c r="C108" s="539" t="s">
        <v>130</v>
      </c>
      <c r="D108" s="539" t="s">
        <v>299</v>
      </c>
      <c r="E108" s="539" t="s">
        <v>300</v>
      </c>
      <c r="F108" s="400"/>
      <c r="G108" s="400"/>
      <c r="H108" s="400"/>
      <c r="I108" s="400"/>
      <c r="L108" s="534"/>
    </row>
    <row r="109" spans="1:17" x14ac:dyDescent="0.2">
      <c r="A109" s="550"/>
      <c r="B109" s="398" t="s">
        <v>301</v>
      </c>
      <c r="C109" s="557">
        <f>C106</f>
        <v>24059.373431902815</v>
      </c>
      <c r="D109" s="560">
        <f>E8</f>
        <v>565.73895526375509</v>
      </c>
      <c r="E109" s="560">
        <f>C109*D109</f>
        <v>13611324.789665245</v>
      </c>
      <c r="F109" s="400"/>
      <c r="H109" s="400"/>
      <c r="I109" s="400"/>
      <c r="L109" s="534"/>
    </row>
    <row r="110" spans="1:17" x14ac:dyDescent="0.2">
      <c r="A110" s="533"/>
      <c r="B110" s="398" t="s">
        <v>302</v>
      </c>
      <c r="C110" s="557">
        <f>C102</f>
        <v>2355.7742003782128</v>
      </c>
      <c r="D110" s="560">
        <f>I15*-1</f>
        <v>-658.30766645899507</v>
      </c>
      <c r="E110" s="560">
        <f>C110*D110</f>
        <v>-1550824.2165552862</v>
      </c>
      <c r="F110" s="400"/>
      <c r="G110" s="400"/>
      <c r="H110" s="400"/>
      <c r="I110" s="400"/>
      <c r="L110" s="534"/>
    </row>
    <row r="111" spans="1:17" x14ac:dyDescent="0.2">
      <c r="A111" s="533"/>
      <c r="B111" s="398" t="s">
        <v>303</v>
      </c>
      <c r="C111" s="557">
        <f>C103</f>
        <v>674.58929999999998</v>
      </c>
      <c r="D111" s="560">
        <f>E10*-1</f>
        <v>-353.36271545764117</v>
      </c>
      <c r="E111" s="560">
        <f>C111*D111</f>
        <v>-238374.70686666932</v>
      </c>
      <c r="F111" s="400"/>
      <c r="G111" s="400"/>
      <c r="H111" s="400"/>
      <c r="I111" s="400"/>
      <c r="L111" s="534"/>
    </row>
    <row r="112" spans="1:17" x14ac:dyDescent="0.2">
      <c r="A112" s="533"/>
      <c r="B112" s="398" t="s">
        <v>304</v>
      </c>
      <c r="C112" s="557">
        <f>C110</f>
        <v>2355.7742003782128</v>
      </c>
      <c r="D112" s="560">
        <f>$D$57</f>
        <v>-41.086206896551722</v>
      </c>
      <c r="E112" s="560">
        <f t="shared" ref="E112:E116" si="8">C112*D112</f>
        <v>-96789.826198297946</v>
      </c>
      <c r="F112" s="400"/>
      <c r="G112" s="400"/>
      <c r="H112" s="400"/>
      <c r="I112" s="400"/>
      <c r="L112" s="534"/>
    </row>
    <row r="113" spans="1:12" x14ac:dyDescent="0.2">
      <c r="A113" s="533"/>
      <c r="B113" s="398" t="s">
        <v>305</v>
      </c>
      <c r="C113" s="557">
        <f>C104</f>
        <v>24177.363500378211</v>
      </c>
      <c r="D113" s="560">
        <f>$D$58</f>
        <v>-25.530000000000005</v>
      </c>
      <c r="E113" s="560">
        <f t="shared" si="8"/>
        <v>-617248.09016465582</v>
      </c>
      <c r="F113" s="400"/>
      <c r="G113" s="400"/>
      <c r="H113" s="400"/>
      <c r="I113" s="398" t="s">
        <v>306</v>
      </c>
      <c r="J113" s="560">
        <f>E109</f>
        <v>13611324.789665245</v>
      </c>
      <c r="K113" s="689">
        <f>J113/$C$46</f>
        <v>643.6527540391188</v>
      </c>
      <c r="L113" s="534"/>
    </row>
    <row r="114" spans="1:12" x14ac:dyDescent="0.2">
      <c r="A114" s="533"/>
      <c r="B114" s="398" t="s">
        <v>307</v>
      </c>
      <c r="C114" s="557">
        <f>C104*Inputs!C26</f>
        <v>48.354727000756426</v>
      </c>
      <c r="D114" s="560">
        <f>-D109</f>
        <v>-565.73895526375509</v>
      </c>
      <c r="E114" s="560">
        <f t="shared" si="8"/>
        <v>-27356.152735472031</v>
      </c>
      <c r="F114" s="603">
        <f>E114/C106</f>
        <v>-1.1370268146383926</v>
      </c>
      <c r="G114" s="400" t="s">
        <v>417</v>
      </c>
      <c r="H114" s="400"/>
      <c r="I114" s="398" t="s">
        <v>308</v>
      </c>
      <c r="J114" s="560">
        <f>E110+E111</f>
        <v>-1789198.9234219554</v>
      </c>
      <c r="K114" s="689">
        <f t="shared" ref="K114:K116" si="9">J114/$C$46</f>
        <v>-84.607694870286821</v>
      </c>
      <c r="L114" s="534"/>
    </row>
    <row r="115" spans="1:12" x14ac:dyDescent="0.2">
      <c r="A115" s="533"/>
      <c r="B115" s="398" t="s">
        <v>309</v>
      </c>
      <c r="C115" s="557">
        <v>0</v>
      </c>
      <c r="D115" s="560">
        <v>0</v>
      </c>
      <c r="E115" s="560">
        <f t="shared" si="8"/>
        <v>0</v>
      </c>
      <c r="F115" s="400"/>
      <c r="G115" s="400"/>
      <c r="H115" s="400"/>
      <c r="I115" s="398" t="s">
        <v>310</v>
      </c>
      <c r="J115" s="560">
        <f>E112</f>
        <v>-96789.826198297946</v>
      </c>
      <c r="K115" s="689">
        <f t="shared" si="9"/>
        <v>-4.5770003403933393</v>
      </c>
      <c r="L115" s="534"/>
    </row>
    <row r="116" spans="1:12" x14ac:dyDescent="0.2">
      <c r="A116" s="533"/>
      <c r="B116" s="398" t="s">
        <v>307</v>
      </c>
      <c r="C116" s="557">
        <v>0</v>
      </c>
      <c r="D116" s="560">
        <v>0</v>
      </c>
      <c r="E116" s="560">
        <f t="shared" si="8"/>
        <v>0</v>
      </c>
      <c r="F116" s="400"/>
      <c r="G116" s="400"/>
      <c r="H116" s="400"/>
      <c r="I116" s="398" t="s">
        <v>311</v>
      </c>
      <c r="J116" s="560">
        <f>E113+E114+E115+E116</f>
        <v>-644604.24290012789</v>
      </c>
      <c r="K116" s="689">
        <f t="shared" si="9"/>
        <v>-30.482065678352857</v>
      </c>
      <c r="L116" s="534"/>
    </row>
    <row r="117" spans="1:12" ht="18.75" thickBot="1" x14ac:dyDescent="0.3">
      <c r="A117" s="694"/>
      <c r="C117" s="745"/>
      <c r="D117" s="593" t="s">
        <v>312</v>
      </c>
      <c r="E117" s="594">
        <f>SUM(E109:E116)</f>
        <v>11080731.797144864</v>
      </c>
      <c r="F117" s="400"/>
      <c r="G117" s="400"/>
      <c r="I117" s="398"/>
      <c r="J117" s="690">
        <f>SUM(J113:J116)</f>
        <v>11080731.797144864</v>
      </c>
      <c r="K117" s="401">
        <f>SUM(K113:K116)</f>
        <v>523.98599315008585</v>
      </c>
      <c r="L117" s="534"/>
    </row>
    <row r="118" spans="1:12" ht="13.5" thickTop="1" x14ac:dyDescent="0.2">
      <c r="A118" s="696"/>
      <c r="C118" s="697"/>
      <c r="D118" s="398" t="s">
        <v>313</v>
      </c>
      <c r="E118" s="570">
        <f>C101</f>
        <v>21147</v>
      </c>
      <c r="F118" s="537" t="s">
        <v>130</v>
      </c>
      <c r="H118" s="400"/>
      <c r="K118" s="572">
        <f>E119</f>
        <v>523.98599315008573</v>
      </c>
      <c r="L118" s="534"/>
    </row>
    <row r="119" spans="1:12" ht="18" x14ac:dyDescent="0.25">
      <c r="A119" s="698"/>
      <c r="B119" s="574"/>
      <c r="C119" s="574"/>
      <c r="D119" s="398" t="s">
        <v>314</v>
      </c>
      <c r="E119" s="691">
        <f>E117/E118</f>
        <v>523.98599315008573</v>
      </c>
      <c r="F119" s="537" t="s">
        <v>315</v>
      </c>
      <c r="G119" s="595"/>
      <c r="H119" s="574"/>
      <c r="I119" s="574"/>
      <c r="J119" s="574"/>
      <c r="K119" s="577">
        <f>K117-K118</f>
        <v>0</v>
      </c>
      <c r="L119" s="578" t="s">
        <v>316</v>
      </c>
    </row>
    <row r="120" spans="1:12" x14ac:dyDescent="0.2">
      <c r="A120" s="698"/>
      <c r="B120" s="697"/>
      <c r="D120" s="398"/>
      <c r="E120" s="692">
        <f>E119/6.29287</f>
        <v>83.266616527925379</v>
      </c>
      <c r="F120" s="400" t="s">
        <v>317</v>
      </c>
      <c r="L120" s="534"/>
    </row>
    <row r="121" spans="1:12" x14ac:dyDescent="0.2">
      <c r="A121" s="698"/>
      <c r="B121" s="697"/>
      <c r="D121" s="693"/>
      <c r="E121" s="692">
        <f>E120/B7</f>
        <v>60.91416403520639</v>
      </c>
      <c r="F121" s="400" t="s">
        <v>318</v>
      </c>
      <c r="L121" s="534"/>
    </row>
    <row r="122" spans="1:12" x14ac:dyDescent="0.2">
      <c r="A122" s="698"/>
      <c r="B122" s="697"/>
      <c r="D122" s="693" t="s">
        <v>319</v>
      </c>
      <c r="E122" s="560">
        <f>E121-B6</f>
        <v>-17.705835964793614</v>
      </c>
      <c r="F122" s="400" t="s">
        <v>318</v>
      </c>
      <c r="L122" s="534"/>
    </row>
    <row r="123" spans="1:12" x14ac:dyDescent="0.2">
      <c r="A123" s="698"/>
      <c r="B123" s="697"/>
      <c r="C123" s="574"/>
      <c r="D123" s="693" t="s">
        <v>320</v>
      </c>
      <c r="E123" s="560">
        <f>E122-B8</f>
        <v>-4.885835964793614</v>
      </c>
      <c r="F123" s="400" t="s">
        <v>318</v>
      </c>
      <c r="L123" s="534"/>
    </row>
    <row r="124" spans="1:12" x14ac:dyDescent="0.2">
      <c r="A124" s="698"/>
      <c r="B124" s="697"/>
      <c r="C124" s="574"/>
      <c r="D124" s="693" t="s">
        <v>331</v>
      </c>
      <c r="E124" s="901">
        <f>E119-(D109+D113+(C114/C109)*D114)</f>
        <v>-15.085935299031007</v>
      </c>
      <c r="F124" s="537" t="s">
        <v>315</v>
      </c>
      <c r="L124" s="534"/>
    </row>
    <row r="125" spans="1:12" x14ac:dyDescent="0.2">
      <c r="A125" s="698"/>
      <c r="B125" s="697"/>
      <c r="C125" s="574"/>
      <c r="D125" s="693" t="s">
        <v>331</v>
      </c>
      <c r="E125" s="901">
        <f>((($C$110+$C$111-$C$105-$C$114)*$D$109)-(($C$110*I$15)+($C$111*E$10)))/$C$101</f>
        <v>-7.9875147044408621</v>
      </c>
      <c r="F125" s="537" t="s">
        <v>315</v>
      </c>
      <c r="G125" s="364" t="s">
        <v>411</v>
      </c>
      <c r="L125" s="534"/>
    </row>
    <row r="126" spans="1:12" x14ac:dyDescent="0.2">
      <c r="A126" s="698"/>
      <c r="B126" s="697"/>
      <c r="C126" s="574"/>
      <c r="D126" s="398" t="s">
        <v>416</v>
      </c>
      <c r="E126" s="754">
        <f>(E110+E111+E112)/C106</f>
        <v>-78.388938721048561</v>
      </c>
      <c r="F126" s="537" t="s">
        <v>315</v>
      </c>
      <c r="G126" s="364" t="s">
        <v>501</v>
      </c>
      <c r="L126" s="534"/>
    </row>
    <row r="127" spans="1:12" ht="13.5" thickBot="1" x14ac:dyDescent="0.25">
      <c r="A127" s="596"/>
      <c r="B127" s="586"/>
      <c r="C127" s="586"/>
      <c r="D127" s="604" t="s">
        <v>336</v>
      </c>
      <c r="E127" s="902">
        <f>(E124*C101)/C106</f>
        <v>-13.259791435199389</v>
      </c>
      <c r="F127" s="761" t="s">
        <v>315</v>
      </c>
      <c r="G127" s="586"/>
      <c r="H127" s="586"/>
      <c r="I127" s="586"/>
      <c r="J127" s="586"/>
      <c r="K127" s="586"/>
      <c r="L127" s="587"/>
    </row>
    <row r="128" spans="1:12" ht="13.5" thickTop="1" x14ac:dyDescent="0.2"/>
    <row r="129" spans="1:12" ht="23.25" x14ac:dyDescent="0.35">
      <c r="A129" s="597" t="s">
        <v>321</v>
      </c>
      <c r="K129" s="598" t="s">
        <v>299</v>
      </c>
      <c r="L129" s="598" t="s">
        <v>318</v>
      </c>
    </row>
    <row r="130" spans="1:12" ht="18.75" thickBot="1" x14ac:dyDescent="0.3">
      <c r="D130" s="398" t="s">
        <v>322</v>
      </c>
      <c r="E130" s="612">
        <f>E117-E62</f>
        <v>252967.03904939629</v>
      </c>
      <c r="H130" s="398" t="s">
        <v>306</v>
      </c>
      <c r="I130" s="746">
        <f>J113-J58</f>
        <v>-137920.57477268763</v>
      </c>
      <c r="J130" s="599" t="s">
        <v>323</v>
      </c>
      <c r="K130" s="747">
        <f>I130/E131</f>
        <v>-6.5219924704538528</v>
      </c>
      <c r="L130" s="747">
        <f>K130/6.29287/$B$7</f>
        <v>-0.75819148674803061</v>
      </c>
    </row>
    <row r="131" spans="1:12" ht="18.75" thickTop="1" x14ac:dyDescent="0.25">
      <c r="D131" s="398" t="s">
        <v>313</v>
      </c>
      <c r="E131" s="600">
        <f>E118</f>
        <v>21147</v>
      </c>
      <c r="F131" s="537" t="s">
        <v>130</v>
      </c>
      <c r="H131" s="398" t="s">
        <v>308</v>
      </c>
      <c r="I131" s="746">
        <f>J114-J59</f>
        <v>348478.94434619951</v>
      </c>
      <c r="J131" s="599" t="s">
        <v>324</v>
      </c>
      <c r="K131" s="747">
        <f>I131/E131</f>
        <v>16.478883262221569</v>
      </c>
      <c r="L131" s="747">
        <f t="shared" ref="L131:L133" si="10">K131/6.29287/$B$7</f>
        <v>1.9156950973391058</v>
      </c>
    </row>
    <row r="132" spans="1:12" ht="18" x14ac:dyDescent="0.25">
      <c r="D132" s="398" t="s">
        <v>314</v>
      </c>
      <c r="E132" s="601">
        <f>E130/E131</f>
        <v>11.962313285543873</v>
      </c>
      <c r="F132" s="537" t="s">
        <v>315</v>
      </c>
      <c r="H132" s="398" t="s">
        <v>310</v>
      </c>
      <c r="I132" s="746">
        <f>J115-J60</f>
        <v>36626.628794137869</v>
      </c>
      <c r="J132" s="599" t="s">
        <v>324</v>
      </c>
      <c r="K132" s="747">
        <f>I132/E131</f>
        <v>1.7320011724659701</v>
      </c>
      <c r="L132" s="747">
        <f t="shared" si="10"/>
        <v>0.20134775529876131</v>
      </c>
    </row>
    <row r="133" spans="1:12" ht="18" x14ac:dyDescent="0.25">
      <c r="E133" s="748">
        <f>E132/6.29287</f>
        <v>1.9009312580021316</v>
      </c>
      <c r="F133" s="400" t="s">
        <v>317</v>
      </c>
      <c r="H133" s="398" t="s">
        <v>311</v>
      </c>
      <c r="I133" s="746">
        <f>J116-J61</f>
        <v>5782.0406817451585</v>
      </c>
      <c r="J133" s="599" t="s">
        <v>324</v>
      </c>
      <c r="K133" s="747">
        <f>I133/E131</f>
        <v>0.27342132131012242</v>
      </c>
      <c r="L133" s="747">
        <f t="shared" si="10"/>
        <v>3.1785642049094044E-2</v>
      </c>
    </row>
    <row r="134" spans="1:12" ht="18.75" thickBot="1" x14ac:dyDescent="0.3">
      <c r="E134" s="601">
        <f>E133/B7</f>
        <v>1.3906370079389381</v>
      </c>
      <c r="F134" s="400" t="s">
        <v>318</v>
      </c>
      <c r="H134" s="398" t="s">
        <v>325</v>
      </c>
      <c r="I134" s="567">
        <f>SUM(I130:I133)</f>
        <v>252967.03904939489</v>
      </c>
      <c r="J134" s="599" t="s">
        <v>324</v>
      </c>
      <c r="K134" s="601">
        <f>SUM(K130:K133)</f>
        <v>11.962313285543809</v>
      </c>
      <c r="L134" s="601">
        <f>SUM(L130:L133)</f>
        <v>1.3906370079389305</v>
      </c>
    </row>
    <row r="135" spans="1:12" ht="13.5" thickTop="1" x14ac:dyDescent="0.2">
      <c r="D135" s="398" t="s">
        <v>333</v>
      </c>
      <c r="E135" s="570">
        <f>C106</f>
        <v>24059.373431902815</v>
      </c>
      <c r="F135" s="537" t="s">
        <v>130</v>
      </c>
    </row>
    <row r="136" spans="1:12" x14ac:dyDescent="0.2">
      <c r="D136" s="398" t="s">
        <v>334</v>
      </c>
      <c r="E136" s="749">
        <f>E130/E135</f>
        <v>10.514282084917518</v>
      </c>
      <c r="F136" s="400"/>
    </row>
  </sheetData>
  <protectedRanges>
    <protectedRange sqref="B22:C25 B78:C81" name="Range3_1_1"/>
  </protectedRanges>
  <dataConsolidate link="1"/>
  <mergeCells count="4">
    <mergeCell ref="B33:C33"/>
    <mergeCell ref="D33:E33"/>
    <mergeCell ref="B88:C88"/>
    <mergeCell ref="D88:E88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FFF9-D6D4-440C-A255-D11E253291A1}">
  <dimension ref="A1:Y136"/>
  <sheetViews>
    <sheetView topLeftCell="A96" zoomScale="85" zoomScaleNormal="85" workbookViewId="0">
      <selection activeCell="C58" sqref="C58"/>
    </sheetView>
  </sheetViews>
  <sheetFormatPr defaultColWidth="9.140625" defaultRowHeight="12.75" x14ac:dyDescent="0.2"/>
  <cols>
    <col min="1" max="1" width="32.28515625" style="364" customWidth="1"/>
    <col min="2" max="2" width="16.140625" style="364" customWidth="1"/>
    <col min="3" max="4" width="19.42578125" style="364" customWidth="1"/>
    <col min="5" max="5" width="23.140625" style="364" customWidth="1"/>
    <col min="6" max="11" width="19.42578125" style="364" customWidth="1"/>
    <col min="12" max="12" width="17.140625" style="364" customWidth="1"/>
    <col min="13" max="13" width="2.7109375" style="364" customWidth="1"/>
    <col min="14" max="14" width="23.140625" style="366" customWidth="1"/>
    <col min="15" max="17" width="20" style="364" customWidth="1"/>
    <col min="18" max="18" width="20.28515625" style="364" customWidth="1"/>
    <col min="19" max="19" width="12.85546875" style="364" customWidth="1"/>
    <col min="20" max="21" width="9.85546875" style="364" customWidth="1"/>
    <col min="22" max="22" width="9.140625" style="364"/>
    <col min="23" max="23" width="14.85546875" style="364" customWidth="1"/>
    <col min="24" max="24" width="13.7109375" style="364" customWidth="1"/>
    <col min="25" max="16384" width="9.140625" style="364"/>
  </cols>
  <sheetData>
    <row r="1" spans="1:17" ht="26.25" x14ac:dyDescent="0.4">
      <c r="A1" s="363" t="s">
        <v>376</v>
      </c>
      <c r="F1" s="365"/>
      <c r="K1" s="678"/>
      <c r="L1" s="679"/>
    </row>
    <row r="2" spans="1:17" ht="26.25" x14ac:dyDescent="0.4">
      <c r="A2" s="363"/>
      <c r="K2" s="680"/>
      <c r="L2" s="681"/>
    </row>
    <row r="3" spans="1:17" ht="27" thickBot="1" x14ac:dyDescent="0.45">
      <c r="K3" s="680"/>
      <c r="L3" s="682"/>
    </row>
    <row r="4" spans="1:17" ht="13.5" customHeight="1" thickBot="1" x14ac:dyDescent="0.25">
      <c r="A4" s="367" t="s">
        <v>190</v>
      </c>
      <c r="B4" s="368"/>
      <c r="C4" s="369" t="s">
        <v>138</v>
      </c>
      <c r="D4" s="369" t="s">
        <v>191</v>
      </c>
      <c r="E4" s="370" t="s">
        <v>192</v>
      </c>
      <c r="F4" s="371"/>
      <c r="G4" s="371"/>
      <c r="H4" s="371"/>
      <c r="I4" s="371"/>
      <c r="J4" s="371"/>
      <c r="K4" s="371"/>
      <c r="L4" s="372"/>
    </row>
    <row r="5" spans="1:17" ht="13.5" customHeight="1" thickBot="1" x14ac:dyDescent="0.25">
      <c r="A5" s="643" t="s">
        <v>193</v>
      </c>
      <c r="B5" s="644">
        <f>'Spur-Netback'!C37</f>
        <v>45413</v>
      </c>
      <c r="C5" s="373" t="s">
        <v>194</v>
      </c>
      <c r="D5" s="373" t="s">
        <v>194</v>
      </c>
      <c r="E5" s="373" t="s">
        <v>194</v>
      </c>
      <c r="G5" s="374">
        <f>B5</f>
        <v>45413</v>
      </c>
      <c r="H5" s="662" t="s">
        <v>195</v>
      </c>
      <c r="I5" s="663" t="s">
        <v>196</v>
      </c>
      <c r="J5" s="663" t="s">
        <v>197</v>
      </c>
      <c r="K5" s="663" t="s">
        <v>198</v>
      </c>
      <c r="L5" s="664" t="s">
        <v>199</v>
      </c>
      <c r="P5" s="375"/>
      <c r="Q5" s="375"/>
    </row>
    <row r="6" spans="1:17" x14ac:dyDescent="0.2">
      <c r="A6" s="643" t="s">
        <v>200</v>
      </c>
      <c r="B6" s="645">
        <f>_xlfn.XLOOKUP($B$5,MonthlyData!$B:$B,MonthlyData!$D:$D)</f>
        <v>78.62</v>
      </c>
      <c r="C6" s="646"/>
      <c r="D6" s="646"/>
      <c r="E6" s="376"/>
      <c r="G6" s="377"/>
      <c r="H6" s="378" t="s">
        <v>201</v>
      </c>
      <c r="I6" s="655">
        <f>_xlfn.XLOOKUP($B$5,MonthlyData!$B:$B,MonthlyData!$Z:$Z)</f>
        <v>636.91</v>
      </c>
      <c r="J6" s="45" t="s">
        <v>202</v>
      </c>
      <c r="K6" s="379">
        <v>0</v>
      </c>
      <c r="L6" s="656">
        <v>0</v>
      </c>
      <c r="P6" s="375"/>
      <c r="Q6" s="375"/>
    </row>
    <row r="7" spans="1:17" x14ac:dyDescent="0.2">
      <c r="A7" s="647" t="s">
        <v>203</v>
      </c>
      <c r="B7" s="758">
        <f>_xlfn.XLOOKUP($B$5,MonthlyData!$B:$B,MonthlyData!$E:$E)</f>
        <v>1.3669500000000001</v>
      </c>
      <c r="C7" s="648"/>
      <c r="D7" s="648"/>
      <c r="E7" s="380"/>
      <c r="G7" s="377"/>
      <c r="H7" s="378" t="s">
        <v>204</v>
      </c>
      <c r="I7" s="381">
        <v>0</v>
      </c>
      <c r="J7" s="45" t="s">
        <v>205</v>
      </c>
      <c r="K7" s="379">
        <f>ROUND(I6-I8,2)</f>
        <v>636.91</v>
      </c>
      <c r="L7" s="656">
        <f>ROUND(K7/1000,6)</f>
        <v>0.63690999999999998</v>
      </c>
      <c r="P7" s="375"/>
      <c r="Q7" s="375"/>
    </row>
    <row r="8" spans="1:17" x14ac:dyDescent="0.2">
      <c r="A8" s="647" t="s">
        <v>326</v>
      </c>
      <c r="B8" s="649">
        <f>_xlfn.XLOOKUP($B$5,MonthlyData!$B:$B,MonthlyData!$BP:$BP)</f>
        <v>-12.82</v>
      </c>
      <c r="C8" s="650"/>
      <c r="D8" s="651"/>
      <c r="E8" s="382">
        <f>(B6+B8)*6.2898105*B7</f>
        <v>565.73895526375509</v>
      </c>
      <c r="G8" s="377"/>
      <c r="H8" s="378" t="s">
        <v>206</v>
      </c>
      <c r="I8" s="379">
        <f>ROUND(I7/2,2)</f>
        <v>0</v>
      </c>
      <c r="J8" s="45" t="s">
        <v>207</v>
      </c>
      <c r="K8" s="379">
        <f>ROUND(I6,2)</f>
        <v>636.91</v>
      </c>
      <c r="L8" s="656">
        <f>ROUND(K8/1000,6)</f>
        <v>0.63690999999999998</v>
      </c>
      <c r="P8" s="375"/>
      <c r="Q8" s="375"/>
    </row>
    <row r="9" spans="1:17" x14ac:dyDescent="0.2">
      <c r="A9" s="647" t="s">
        <v>208</v>
      </c>
      <c r="B9" s="649">
        <f>_xlfn.XLOOKUP($B$5,MonthlyData!$B:$B,MonthlyData!$M:$M)</f>
        <v>-4.1900000000000004</v>
      </c>
      <c r="C9" s="652">
        <f>_xlfn.XLOOKUP($B$5,MonthlyData!$B:$B,MonthlyData!$X:$X)</f>
        <v>-4.2699999999999996</v>
      </c>
      <c r="D9" s="652">
        <f>(($B$6+B9)*6.29287*$B$7)+C9</f>
        <v>635.97973645899503</v>
      </c>
      <c r="E9" s="383">
        <f>D9-C9</f>
        <v>640.24973645899502</v>
      </c>
      <c r="G9" s="377"/>
      <c r="H9" s="77" t="s">
        <v>209</v>
      </c>
      <c r="I9" s="657">
        <f>_xlfn.XLOOKUP($B$5,MonthlyData!$B:$B,MonthlyData!$Y:$Y)</f>
        <v>0.17</v>
      </c>
      <c r="J9" s="384" t="s">
        <v>210</v>
      </c>
      <c r="K9" s="379"/>
      <c r="L9" s="385" t="s">
        <v>211</v>
      </c>
      <c r="P9" s="375"/>
      <c r="Q9" s="375"/>
    </row>
    <row r="10" spans="1:17" x14ac:dyDescent="0.2">
      <c r="A10" s="647" t="s">
        <v>212</v>
      </c>
      <c r="B10" s="653">
        <f>_xlfn.XLOOKUP($B$5,MonthlyData!$B:$B,MonthlyData!$AM:$AM)</f>
        <v>0.47499999999999998</v>
      </c>
      <c r="E10" s="382">
        <f>(B6*B10)*6.29287*B7+D10</f>
        <v>321.23883223421927</v>
      </c>
      <c r="G10" s="377"/>
      <c r="H10" s="77" t="s">
        <v>213</v>
      </c>
      <c r="I10" s="386">
        <f>I13</f>
        <v>1.38</v>
      </c>
      <c r="J10" s="387" t="s">
        <v>214</v>
      </c>
      <c r="K10" s="388"/>
      <c r="L10" s="389" t="s">
        <v>215</v>
      </c>
      <c r="P10" s="375"/>
      <c r="Q10" s="375"/>
    </row>
    <row r="11" spans="1:17" x14ac:dyDescent="0.2">
      <c r="A11" s="647" t="s">
        <v>216</v>
      </c>
      <c r="B11" s="592">
        <f>B10</f>
        <v>0.47499999999999998</v>
      </c>
      <c r="C11" s="400"/>
      <c r="G11" s="377"/>
      <c r="H11" s="390" t="s">
        <v>217</v>
      </c>
      <c r="I11" s="391"/>
      <c r="J11" s="391"/>
      <c r="K11" s="391"/>
      <c r="L11" s="392"/>
      <c r="P11" s="375"/>
      <c r="Q11" s="375"/>
    </row>
    <row r="12" spans="1:17" ht="12.75" customHeight="1" x14ac:dyDescent="0.2">
      <c r="A12" s="647" t="s">
        <v>218</v>
      </c>
      <c r="B12" s="755">
        <f>1-B11</f>
        <v>0.52500000000000002</v>
      </c>
      <c r="C12" s="400" t="s">
        <v>219</v>
      </c>
      <c r="G12" s="377"/>
      <c r="H12" s="378" t="s">
        <v>220</v>
      </c>
      <c r="I12" s="393">
        <v>0.49</v>
      </c>
      <c r="J12" s="384" t="s">
        <v>210</v>
      </c>
      <c r="K12" s="394" t="s">
        <v>221</v>
      </c>
      <c r="L12" s="658">
        <f>_xlfn.XLOOKUP($B$5,MonthlyData!$B:$B,MonthlyData!$AE:$AE)</f>
        <v>0</v>
      </c>
      <c r="P12" s="375"/>
      <c r="Q12" s="375"/>
    </row>
    <row r="13" spans="1:17" ht="12.75" customHeight="1" x14ac:dyDescent="0.2">
      <c r="A13" s="647" t="s">
        <v>222</v>
      </c>
      <c r="B13" s="561">
        <f>B6*B11</f>
        <v>37.344500000000004</v>
      </c>
      <c r="C13" s="400"/>
      <c r="D13" s="654"/>
      <c r="G13" s="395"/>
      <c r="H13" s="396" t="s">
        <v>213</v>
      </c>
      <c r="I13" s="393">
        <v>1.38</v>
      </c>
      <c r="J13" s="387" t="s">
        <v>214</v>
      </c>
      <c r="K13" s="397" t="s">
        <v>223</v>
      </c>
      <c r="L13" s="659">
        <f>_xlfn.XLOOKUP($B$5,MonthlyData!$B:$B,MonthlyData!$AF:$AF)</f>
        <v>0</v>
      </c>
      <c r="P13" s="375"/>
      <c r="Q13" s="375"/>
    </row>
    <row r="14" spans="1:17" x14ac:dyDescent="0.2">
      <c r="A14" s="647" t="s">
        <v>224</v>
      </c>
      <c r="B14" s="561">
        <f>B13-B6</f>
        <v>-41.275500000000001</v>
      </c>
      <c r="C14" s="400"/>
      <c r="D14" s="398" t="s">
        <v>225</v>
      </c>
      <c r="E14" s="399">
        <f>E10-I15</f>
        <v>-337.0688342247758</v>
      </c>
      <c r="H14" s="373" t="s">
        <v>226</v>
      </c>
      <c r="I14" s="401">
        <f>(750-$L$14)*$I$9+(0.2-$L$15)*$I$10*10</f>
        <v>18.057929999999999</v>
      </c>
      <c r="K14" s="398" t="s">
        <v>227</v>
      </c>
      <c r="L14" s="660">
        <f>Inputs!C7</f>
        <v>660</v>
      </c>
      <c r="P14" s="375"/>
      <c r="Q14" s="375"/>
    </row>
    <row r="15" spans="1:17" ht="13.5" customHeight="1" thickBot="1" x14ac:dyDescent="0.25">
      <c r="A15" s="402"/>
      <c r="B15" s="403"/>
      <c r="C15" s="403"/>
      <c r="D15" s="403"/>
      <c r="E15" s="403"/>
      <c r="F15" s="403"/>
      <c r="G15" s="403"/>
      <c r="H15" s="404" t="s">
        <v>228</v>
      </c>
      <c r="I15" s="405">
        <f>E9+I14</f>
        <v>658.30766645899507</v>
      </c>
      <c r="J15" s="403"/>
      <c r="K15" s="404" t="s">
        <v>229</v>
      </c>
      <c r="L15" s="661">
        <f>Inputs!C8</f>
        <v>1.4999999999999999E-4</v>
      </c>
      <c r="P15" s="375"/>
      <c r="Q15" s="375"/>
    </row>
    <row r="16" spans="1:17" ht="13.5" customHeight="1" x14ac:dyDescent="0.2">
      <c r="A16" s="406"/>
      <c r="B16" s="406"/>
      <c r="C16" s="406"/>
      <c r="D16" s="406"/>
      <c r="E16" s="406"/>
      <c r="F16" s="406"/>
      <c r="G16" s="406"/>
      <c r="H16" s="406"/>
      <c r="I16" s="406"/>
      <c r="J16" s="406"/>
      <c r="K16" s="406"/>
      <c r="L16" s="406"/>
      <c r="P16" s="375"/>
      <c r="Q16" s="375"/>
    </row>
    <row r="17" spans="1:25" ht="13.5" customHeight="1" thickBot="1" x14ac:dyDescent="0.25">
      <c r="A17" s="407"/>
      <c r="B17" s="408"/>
      <c r="C17" s="409"/>
      <c r="D17" s="409"/>
      <c r="E17" s="410"/>
      <c r="F17" s="411"/>
      <c r="G17" s="406"/>
      <c r="H17" s="406"/>
      <c r="I17" s="406"/>
      <c r="J17" s="406"/>
      <c r="K17" s="406"/>
      <c r="L17" s="406"/>
      <c r="P17" s="375"/>
      <c r="Q17" s="375"/>
    </row>
    <row r="18" spans="1:25" ht="27.75" thickTop="1" thickBot="1" x14ac:dyDescent="0.45">
      <c r="A18" s="833" t="s">
        <v>370</v>
      </c>
      <c r="B18" s="834"/>
      <c r="C18" s="834"/>
      <c r="D18" s="834"/>
      <c r="E18" s="835"/>
      <c r="F18" s="836"/>
      <c r="G18" s="371"/>
      <c r="H18" s="371"/>
      <c r="I18" s="371"/>
      <c r="J18" s="371"/>
      <c r="K18" s="371"/>
      <c r="L18" s="372"/>
      <c r="N18" s="412" t="s">
        <v>230</v>
      </c>
      <c r="O18" s="413"/>
      <c r="P18" s="413"/>
      <c r="Q18" s="413"/>
      <c r="R18" s="414"/>
      <c r="S18" s="415"/>
      <c r="T18" s="416"/>
      <c r="U18" s="416"/>
      <c r="V18" s="416"/>
      <c r="W18" s="416"/>
      <c r="X18" s="416"/>
      <c r="Y18" s="417"/>
    </row>
    <row r="19" spans="1:25" ht="13.5" customHeight="1" thickBot="1" x14ac:dyDescent="0.25">
      <c r="A19" s="837" t="s">
        <v>371</v>
      </c>
      <c r="B19" s="419"/>
      <c r="C19" s="420"/>
      <c r="D19" s="420"/>
      <c r="E19" s="420"/>
      <c r="F19" s="420"/>
      <c r="G19" s="420"/>
      <c r="H19" s="420"/>
      <c r="I19" s="420"/>
      <c r="J19" s="420"/>
      <c r="K19" s="420"/>
      <c r="L19" s="838"/>
      <c r="N19" s="418"/>
      <c r="O19" s="419"/>
      <c r="P19" s="420"/>
      <c r="Q19" s="420"/>
      <c r="R19" s="420"/>
      <c r="S19" s="420"/>
      <c r="T19" s="420"/>
      <c r="U19" s="420"/>
      <c r="V19" s="420"/>
      <c r="W19" s="420"/>
      <c r="X19" s="420"/>
      <c r="Y19" s="421"/>
    </row>
    <row r="20" spans="1:25" ht="13.5" customHeight="1" thickBot="1" x14ac:dyDescent="0.3">
      <c r="A20" s="839"/>
      <c r="B20" s="423" t="s">
        <v>231</v>
      </c>
      <c r="C20" s="424"/>
      <c r="D20" s="425"/>
      <c r="E20" s="426"/>
      <c r="F20" s="426"/>
      <c r="G20" s="426"/>
      <c r="H20" s="665" t="s">
        <v>127</v>
      </c>
      <c r="I20" s="666"/>
      <c r="J20" s="666"/>
      <c r="K20" s="667"/>
      <c r="L20" s="840"/>
      <c r="N20" s="428"/>
      <c r="O20" s="429" t="s">
        <v>232</v>
      </c>
      <c r="P20" s="430"/>
      <c r="Q20" s="428"/>
      <c r="R20" s="431" t="s">
        <v>233</v>
      </c>
      <c r="S20" s="430"/>
      <c r="T20" s="432"/>
      <c r="U20" s="433"/>
      <c r="V20" s="433"/>
      <c r="W20" s="433"/>
      <c r="X20" s="433"/>
      <c r="Y20" s="427"/>
    </row>
    <row r="21" spans="1:25" ht="13.5" customHeight="1" x14ac:dyDescent="0.25">
      <c r="A21" s="841"/>
      <c r="B21" s="435" t="s">
        <v>130</v>
      </c>
      <c r="C21" s="436" t="s">
        <v>234</v>
      </c>
      <c r="D21" s="437" t="s">
        <v>235</v>
      </c>
      <c r="E21" s="842"/>
      <c r="F21" s="842"/>
      <c r="G21" s="842"/>
      <c r="H21" s="668" t="s">
        <v>236</v>
      </c>
      <c r="I21" s="843" t="s">
        <v>237</v>
      </c>
      <c r="J21" s="843" t="s">
        <v>238</v>
      </c>
      <c r="K21" s="670" t="s">
        <v>239</v>
      </c>
      <c r="L21" s="840"/>
      <c r="N21" s="439" t="s">
        <v>240</v>
      </c>
      <c r="O21" s="440">
        <f>B22</f>
        <v>21147</v>
      </c>
      <c r="P21" s="430"/>
      <c r="Q21" s="439" t="s">
        <v>241</v>
      </c>
      <c r="R21" s="441">
        <f>O32</f>
        <v>21147</v>
      </c>
      <c r="S21" s="430"/>
      <c r="T21" s="432"/>
      <c r="U21" s="438"/>
      <c r="V21" s="438"/>
      <c r="W21" s="438"/>
      <c r="X21" s="438"/>
      <c r="Y21" s="427"/>
    </row>
    <row r="22" spans="1:25" ht="13.5" customHeight="1" x14ac:dyDescent="0.25">
      <c r="A22" s="844" t="s">
        <v>242</v>
      </c>
      <c r="B22" s="450">
        <f>Inputs!C5</f>
        <v>21147</v>
      </c>
      <c r="C22" s="450">
        <f>Inputs!C16</f>
        <v>965</v>
      </c>
      <c r="D22" s="442">
        <f>B22/B26</f>
        <v>0.86688524590163929</v>
      </c>
      <c r="E22" s="842"/>
      <c r="F22" s="842"/>
      <c r="G22" s="842"/>
      <c r="H22" s="671" t="s">
        <v>112</v>
      </c>
      <c r="I22" s="845" t="s">
        <v>130</v>
      </c>
      <c r="J22" s="846"/>
      <c r="K22" s="674"/>
      <c r="L22" s="840"/>
      <c r="N22" s="445" t="s">
        <v>243</v>
      </c>
      <c r="O22" s="446">
        <f>C22</f>
        <v>965</v>
      </c>
      <c r="P22" s="430"/>
      <c r="Q22" s="445" t="s">
        <v>244</v>
      </c>
      <c r="R22" s="447">
        <f>SUM(O34:S34)</f>
        <v>3666.2355669882609</v>
      </c>
      <c r="S22" s="430"/>
      <c r="T22" s="432"/>
      <c r="U22" s="448"/>
      <c r="V22" s="443"/>
      <c r="W22" s="444"/>
      <c r="X22" s="449"/>
      <c r="Y22" s="427"/>
    </row>
    <row r="23" spans="1:25" ht="13.5" customHeight="1" x14ac:dyDescent="0.25">
      <c r="A23" s="844" t="s">
        <v>245</v>
      </c>
      <c r="B23" s="450">
        <v>0</v>
      </c>
      <c r="C23" s="450">
        <v>575</v>
      </c>
      <c r="D23" s="442">
        <f>B23/B26</f>
        <v>0</v>
      </c>
      <c r="E23" s="842"/>
      <c r="F23" s="842"/>
      <c r="G23" s="842"/>
      <c r="H23" s="627">
        <f>IFERROR(26900*F36*(100-F36)^0.819*(I36-J36)^2.28,0)</f>
        <v>0</v>
      </c>
      <c r="I23" s="628">
        <f>IFERROR(H23/100*(B36+D36),0)</f>
        <v>0</v>
      </c>
      <c r="J23" s="628">
        <f>B36+D36</f>
        <v>21147</v>
      </c>
      <c r="K23" s="684">
        <f>B36+D36-I23</f>
        <v>21147</v>
      </c>
      <c r="L23" s="840"/>
      <c r="N23" s="445" t="s">
        <v>246</v>
      </c>
      <c r="O23" s="446">
        <f>C24</f>
        <v>660</v>
      </c>
      <c r="P23" s="430"/>
      <c r="Q23" s="445" t="s">
        <v>247</v>
      </c>
      <c r="R23" s="447">
        <f>S40</f>
        <v>24693.378362417825</v>
      </c>
      <c r="S23" s="430"/>
      <c r="T23" s="432"/>
      <c r="U23" s="452"/>
      <c r="V23" s="451"/>
      <c r="W23" s="451"/>
      <c r="X23" s="453"/>
      <c r="Y23" s="427"/>
    </row>
    <row r="24" spans="1:25" ht="13.5" customHeight="1" thickBot="1" x14ac:dyDescent="0.3">
      <c r="A24" s="844" t="s">
        <v>248</v>
      </c>
      <c r="B24" s="450">
        <f>(C22-B28)/(B28-C24)*B22</f>
        <v>3247.2322239031796</v>
      </c>
      <c r="C24" s="759">
        <f>L14</f>
        <v>660</v>
      </c>
      <c r="D24" s="442">
        <f>B24/B26</f>
        <v>0.13311475409836077</v>
      </c>
      <c r="E24" s="847"/>
      <c r="F24" s="842"/>
      <c r="G24" s="842"/>
      <c r="H24" s="627">
        <f>IFERROR(26900*F37*(100-F37)^0.819*(I37-J37)^2.28,0)</f>
        <v>0.37332770478631283</v>
      </c>
      <c r="I24" s="628">
        <f>IFERROR(H24/100*(B37+D37),0)</f>
        <v>91.070427261740861</v>
      </c>
      <c r="J24" s="628">
        <f>B37+D37</f>
        <v>24394.232223903178</v>
      </c>
      <c r="K24" s="684">
        <f>B37+D37-I24</f>
        <v>24303.161796641438</v>
      </c>
      <c r="L24" s="840"/>
      <c r="N24" s="455" t="s">
        <v>249</v>
      </c>
      <c r="O24" s="456">
        <f>B28</f>
        <v>924.4</v>
      </c>
      <c r="P24" s="430"/>
      <c r="Q24" s="455" t="s">
        <v>250</v>
      </c>
      <c r="R24" s="457">
        <f>R23-SUM(R21:R22)</f>
        <v>-119.85720457043499</v>
      </c>
      <c r="S24" s="430"/>
      <c r="T24" s="432"/>
      <c r="U24" s="452"/>
      <c r="V24" s="451"/>
      <c r="W24" s="451"/>
      <c r="X24" s="453"/>
      <c r="Y24" s="427"/>
    </row>
    <row r="25" spans="1:25" ht="13.5" customHeight="1" thickBot="1" x14ac:dyDescent="0.3">
      <c r="A25" s="848"/>
      <c r="B25" s="458"/>
      <c r="C25" s="459"/>
      <c r="D25" s="460"/>
      <c r="E25" s="842"/>
      <c r="F25" s="842"/>
      <c r="G25" s="842"/>
      <c r="H25" s="630">
        <f>IFERROR(26900*F38*(100-F38)^0.819*(I38-J38)^2.28,0)</f>
        <v>0</v>
      </c>
      <c r="I25" s="631">
        <f>IFERROR(H25/100*(B38+D38),0)</f>
        <v>0</v>
      </c>
      <c r="J25" s="631">
        <f>B38+D38</f>
        <v>24303.161796641438</v>
      </c>
      <c r="K25" s="685">
        <f>B38+D38-I25</f>
        <v>24303.161796641438</v>
      </c>
      <c r="L25" s="840"/>
      <c r="N25" s="430"/>
      <c r="O25" s="430"/>
      <c r="P25" s="430"/>
      <c r="Q25" s="430"/>
      <c r="R25" s="430"/>
      <c r="S25" s="430"/>
      <c r="T25" s="432"/>
      <c r="U25" s="452"/>
      <c r="V25" s="451"/>
      <c r="W25" s="451"/>
      <c r="X25" s="453"/>
      <c r="Y25" s="427"/>
    </row>
    <row r="26" spans="1:25" ht="13.5" customHeight="1" thickBot="1" x14ac:dyDescent="0.3">
      <c r="A26" s="844" t="s">
        <v>251</v>
      </c>
      <c r="B26" s="461">
        <f>SUM(B22:B25)</f>
        <v>24394.232223903178</v>
      </c>
      <c r="C26" s="842"/>
      <c r="D26" s="462">
        <f>SUM(D22:D25)</f>
        <v>1</v>
      </c>
      <c r="E26" s="842"/>
      <c r="F26" s="842"/>
      <c r="G26" s="842"/>
      <c r="H26" s="633">
        <f>IF(I26=0,"",(I26/K26))</f>
        <v>3.7472666323739938E-3</v>
      </c>
      <c r="I26" s="675">
        <f>(SUM(I23:I25))*1</f>
        <v>91.070427261740861</v>
      </c>
      <c r="J26" s="849"/>
      <c r="K26" s="683">
        <f>K25</f>
        <v>24303.161796641438</v>
      </c>
      <c r="L26" s="840"/>
      <c r="N26" s="464" t="s">
        <v>252</v>
      </c>
      <c r="O26" s="465"/>
      <c r="P26" s="465"/>
      <c r="Q26" s="465"/>
      <c r="R26" s="465"/>
      <c r="S26" s="466"/>
      <c r="T26" s="432"/>
      <c r="U26" s="452"/>
      <c r="V26" s="451"/>
      <c r="W26" s="463"/>
      <c r="X26" s="467"/>
      <c r="Y26" s="427"/>
    </row>
    <row r="27" spans="1:25" ht="13.5" customHeight="1" thickBot="1" x14ac:dyDescent="0.3">
      <c r="A27" s="844" t="s">
        <v>253</v>
      </c>
      <c r="B27" s="639">
        <f>SUMPRODUCT(B22:B25,C22:C25)/SUM(B22:B25)</f>
        <v>924.4</v>
      </c>
      <c r="C27" s="842"/>
      <c r="D27" s="468"/>
      <c r="E27" s="842"/>
      <c r="F27" s="842"/>
      <c r="G27" s="842"/>
      <c r="H27" s="850"/>
      <c r="I27" s="850"/>
      <c r="J27" s="851" t="s">
        <v>251</v>
      </c>
      <c r="K27" s="684">
        <f>B26</f>
        <v>24394.232223903178</v>
      </c>
      <c r="L27" s="840"/>
      <c r="N27" s="470"/>
      <c r="O27" s="471" t="s">
        <v>254</v>
      </c>
      <c r="P27" s="471" t="s">
        <v>255</v>
      </c>
      <c r="Q27" s="471" t="s">
        <v>256</v>
      </c>
      <c r="R27" s="471" t="s">
        <v>257</v>
      </c>
      <c r="S27" s="472" t="s">
        <v>258</v>
      </c>
      <c r="T27" s="432"/>
      <c r="U27" s="449"/>
      <c r="V27" s="449"/>
      <c r="W27" s="469"/>
      <c r="X27" s="453"/>
      <c r="Y27" s="427"/>
    </row>
    <row r="28" spans="1:25" ht="13.5" customHeight="1" x14ac:dyDescent="0.25">
      <c r="A28" s="844" t="s">
        <v>249</v>
      </c>
      <c r="B28" s="642">
        <f>Inputs!C18</f>
        <v>924.4</v>
      </c>
      <c r="C28" s="842"/>
      <c r="D28" s="468"/>
      <c r="E28" s="842"/>
      <c r="F28" s="842"/>
      <c r="G28" s="842"/>
      <c r="H28" s="850"/>
      <c r="I28" s="850"/>
      <c r="J28" s="851" t="s">
        <v>259</v>
      </c>
      <c r="K28" s="684">
        <f>I26*-1</f>
        <v>-91.070427261740861</v>
      </c>
      <c r="L28" s="840"/>
      <c r="N28" s="439" t="s">
        <v>249</v>
      </c>
      <c r="O28" s="473">
        <f>$B$28</f>
        <v>924.4</v>
      </c>
      <c r="P28" s="473">
        <f t="shared" ref="P28:S29" si="0">O28</f>
        <v>924.4</v>
      </c>
      <c r="Q28" s="473">
        <f t="shared" si="0"/>
        <v>924.4</v>
      </c>
      <c r="R28" s="473">
        <f t="shared" si="0"/>
        <v>924.4</v>
      </c>
      <c r="S28" s="474">
        <f t="shared" si="0"/>
        <v>924.4</v>
      </c>
      <c r="T28" s="432"/>
      <c r="U28" s="449"/>
      <c r="V28" s="449"/>
      <c r="W28" s="469"/>
      <c r="X28" s="453"/>
      <c r="Y28" s="427"/>
    </row>
    <row r="29" spans="1:25" ht="13.5" customHeight="1" x14ac:dyDescent="0.25">
      <c r="A29" s="852"/>
      <c r="B29" s="853">
        <f>D49</f>
        <v>924.4</v>
      </c>
      <c r="C29" s="842"/>
      <c r="D29" s="842"/>
      <c r="E29" s="842"/>
      <c r="F29" s="842"/>
      <c r="G29" s="842"/>
      <c r="H29" s="850"/>
      <c r="I29" s="850"/>
      <c r="J29" s="851" t="s">
        <v>260</v>
      </c>
      <c r="K29" s="686">
        <f>K27+K28</f>
        <v>24303.161796641438</v>
      </c>
      <c r="L29" s="840"/>
      <c r="N29" s="445" t="s">
        <v>261</v>
      </c>
      <c r="O29" s="475">
        <f>$C$24</f>
        <v>660</v>
      </c>
      <c r="P29" s="475">
        <f t="shared" si="0"/>
        <v>660</v>
      </c>
      <c r="Q29" s="475">
        <f t="shared" si="0"/>
        <v>660</v>
      </c>
      <c r="R29" s="475">
        <f t="shared" si="0"/>
        <v>660</v>
      </c>
      <c r="S29" s="476">
        <f t="shared" si="0"/>
        <v>660</v>
      </c>
      <c r="T29" s="432"/>
      <c r="U29" s="449"/>
      <c r="V29" s="449"/>
      <c r="W29" s="469"/>
      <c r="X29" s="453"/>
      <c r="Y29" s="427"/>
    </row>
    <row r="30" spans="1:25" ht="15" x14ac:dyDescent="0.25">
      <c r="A30" s="854"/>
      <c r="B30" s="842"/>
      <c r="C30" s="842"/>
      <c r="D30" s="842"/>
      <c r="E30" s="842"/>
      <c r="F30" s="842"/>
      <c r="G30" s="842"/>
      <c r="H30" s="850"/>
      <c r="I30" s="850"/>
      <c r="J30" s="851" t="s">
        <v>262</v>
      </c>
      <c r="K30" s="687">
        <f>I26/B26</f>
        <v>3.7332770478631285E-3</v>
      </c>
      <c r="L30" s="840"/>
      <c r="N30" s="445" t="s">
        <v>180</v>
      </c>
      <c r="O30" s="475">
        <f>$C$22</f>
        <v>965</v>
      </c>
      <c r="P30" s="475">
        <f>O41</f>
        <v>928.48481136905878</v>
      </c>
      <c r="Q30" s="475">
        <f>P41</f>
        <v>924.8214699021313</v>
      </c>
      <c r="R30" s="475">
        <f>Q41</f>
        <v>924.4435860586575</v>
      </c>
      <c r="S30" s="476">
        <f>R41</f>
        <v>924.4045084686984</v>
      </c>
      <c r="T30" s="432"/>
      <c r="U30" s="449"/>
      <c r="V30" s="449"/>
      <c r="W30" s="469"/>
      <c r="X30" s="478"/>
      <c r="Y30" s="427"/>
    </row>
    <row r="31" spans="1:25" ht="15" x14ac:dyDescent="0.25">
      <c r="A31" s="854" t="s">
        <v>377</v>
      </c>
      <c r="B31" s="842"/>
      <c r="C31" s="842"/>
      <c r="D31" s="842"/>
      <c r="E31" s="842"/>
      <c r="F31" s="842"/>
      <c r="G31" s="842"/>
      <c r="H31" s="855"/>
      <c r="I31" s="832"/>
      <c r="J31" s="832"/>
      <c r="K31" s="832"/>
      <c r="L31" s="840"/>
      <c r="N31" s="445"/>
      <c r="O31" s="479"/>
      <c r="P31" s="479"/>
      <c r="Q31" s="479"/>
      <c r="R31" s="479"/>
      <c r="S31" s="480"/>
      <c r="T31" s="432"/>
      <c r="U31" s="449"/>
      <c r="Y31" s="427"/>
    </row>
    <row r="32" spans="1:25" ht="18" customHeight="1" x14ac:dyDescent="0.25">
      <c r="A32" s="856" t="s">
        <v>263</v>
      </c>
      <c r="B32" s="857"/>
      <c r="C32" s="857"/>
      <c r="D32" s="857"/>
      <c r="E32" s="857"/>
      <c r="F32" s="857"/>
      <c r="G32" s="857"/>
      <c r="H32" s="857"/>
      <c r="I32" s="857"/>
      <c r="J32" s="857"/>
      <c r="K32" s="832"/>
      <c r="L32" s="840"/>
      <c r="N32" s="445" t="s">
        <v>264</v>
      </c>
      <c r="O32" s="483">
        <f>$B$22</f>
        <v>21147</v>
      </c>
      <c r="P32" s="483">
        <f>O40</f>
        <v>24286.911311479489</v>
      </c>
      <c r="Q32" s="483">
        <f>P40</f>
        <v>24650.889302461695</v>
      </c>
      <c r="R32" s="483">
        <f>Q40</f>
        <v>24689.020236618424</v>
      </c>
      <c r="S32" s="484">
        <f>R40</f>
        <v>24692.969763181431</v>
      </c>
      <c r="T32" s="482"/>
      <c r="U32" s="432"/>
      <c r="V32" s="432"/>
      <c r="W32" s="432"/>
      <c r="Y32" s="427"/>
    </row>
    <row r="33" spans="1:25" ht="15" x14ac:dyDescent="0.25">
      <c r="A33" s="858"/>
      <c r="B33" s="820" t="s">
        <v>265</v>
      </c>
      <c r="C33" s="821"/>
      <c r="D33" s="820" t="s">
        <v>266</v>
      </c>
      <c r="E33" s="821"/>
      <c r="F33" s="859"/>
      <c r="G33" s="859"/>
      <c r="H33" s="857"/>
      <c r="I33" s="857"/>
      <c r="J33" s="857"/>
      <c r="K33" s="857"/>
      <c r="L33" s="840"/>
      <c r="N33" s="445" t="s">
        <v>267</v>
      </c>
      <c r="O33" s="487">
        <f>O32*O30</f>
        <v>20406855</v>
      </c>
      <c r="P33" s="487">
        <f>P32*P30</f>
        <v>22550028.267776094</v>
      </c>
      <c r="Q33" s="487">
        <f>Q32*Q30</f>
        <v>22797671.679097351</v>
      </c>
      <c r="R33" s="487">
        <f>R32*R30</f>
        <v>22823606.403814301</v>
      </c>
      <c r="S33" s="488">
        <f>S32*S30</f>
        <v>22826292.576566163</v>
      </c>
      <c r="T33" s="486"/>
      <c r="U33" s="432"/>
      <c r="V33" s="432"/>
      <c r="W33" s="432"/>
      <c r="X33" s="432"/>
      <c r="Y33" s="427"/>
    </row>
    <row r="34" spans="1:25" ht="58.5" customHeight="1" x14ac:dyDescent="0.25">
      <c r="A34" s="860"/>
      <c r="B34" s="490" t="s">
        <v>268</v>
      </c>
      <c r="C34" s="490" t="s">
        <v>269</v>
      </c>
      <c r="D34" s="490" t="s">
        <v>270</v>
      </c>
      <c r="E34" s="490" t="s">
        <v>269</v>
      </c>
      <c r="F34" s="491" t="s">
        <v>271</v>
      </c>
      <c r="G34" s="491" t="s">
        <v>272</v>
      </c>
      <c r="H34" s="492" t="s">
        <v>273</v>
      </c>
      <c r="I34" s="493" t="s">
        <v>274</v>
      </c>
      <c r="J34" s="493" t="s">
        <v>275</v>
      </c>
      <c r="K34" s="857"/>
      <c r="L34" s="840"/>
      <c r="N34" s="445" t="s">
        <v>276</v>
      </c>
      <c r="O34" s="494">
        <f>(O28*O32-O30*O32)/(O29-O28)</f>
        <v>3247.2322239031746</v>
      </c>
      <c r="P34" s="494">
        <f>(P28*P32-P30*P32)/(P29-P28)</f>
        <v>375.21728988069026</v>
      </c>
      <c r="Q34" s="494">
        <f>(Q28*Q32-Q30*Q32)/(Q29-Q28)</f>
        <v>39.295037449922262</v>
      </c>
      <c r="R34" s="494">
        <f>(R28*R32-R30*R32)/(R29-R28)</f>
        <v>4.0699587149458196</v>
      </c>
      <c r="S34" s="495">
        <f>(S28*S32-S30*S32)/(S29-S28)</f>
        <v>0.42105703952802565</v>
      </c>
      <c r="T34" s="496"/>
      <c r="U34" s="497"/>
      <c r="V34" s="498"/>
      <c r="W34" s="498"/>
      <c r="X34" s="432"/>
      <c r="Y34" s="427"/>
    </row>
    <row r="35" spans="1:25" ht="15" x14ac:dyDescent="0.25">
      <c r="A35" s="861"/>
      <c r="B35" s="500" t="s">
        <v>130</v>
      </c>
      <c r="C35" s="501" t="s">
        <v>277</v>
      </c>
      <c r="D35" s="500" t="s">
        <v>130</v>
      </c>
      <c r="E35" s="501" t="s">
        <v>277</v>
      </c>
      <c r="F35" s="862" t="s">
        <v>112</v>
      </c>
      <c r="G35" s="862" t="s">
        <v>112</v>
      </c>
      <c r="H35" s="863" t="s">
        <v>112</v>
      </c>
      <c r="I35" s="863"/>
      <c r="J35" s="504"/>
      <c r="K35" s="857"/>
      <c r="L35" s="840"/>
      <c r="N35" s="445" t="s">
        <v>278</v>
      </c>
      <c r="O35" s="483">
        <f>O34*O29</f>
        <v>2143173.2677760953</v>
      </c>
      <c r="P35" s="483">
        <f>P34*P29</f>
        <v>247643.41132125558</v>
      </c>
      <c r="Q35" s="483">
        <f>Q34*Q29</f>
        <v>25934.724716948695</v>
      </c>
      <c r="R35" s="483">
        <f>R34*R29</f>
        <v>2686.172751864241</v>
      </c>
      <c r="S35" s="484">
        <f>S34*S29</f>
        <v>277.89764608849691</v>
      </c>
      <c r="T35" s="502"/>
      <c r="U35" s="505"/>
      <c r="V35" s="505"/>
      <c r="W35" s="505"/>
      <c r="X35" s="432"/>
      <c r="Y35" s="427"/>
    </row>
    <row r="36" spans="1:25" ht="15" x14ac:dyDescent="0.25">
      <c r="A36" s="864" t="s">
        <v>245</v>
      </c>
      <c r="B36" s="507">
        <f>B23</f>
        <v>0</v>
      </c>
      <c r="C36" s="508">
        <f>C23</f>
        <v>575</v>
      </c>
      <c r="D36" s="507">
        <f>B22</f>
        <v>21147</v>
      </c>
      <c r="E36" s="508">
        <f>C22</f>
        <v>965</v>
      </c>
      <c r="F36" s="509">
        <f>IFERROR(B36/(B36+D36)*100,"")</f>
        <v>0</v>
      </c>
      <c r="G36" s="509">
        <f>IFERROR(D36/(B36+D36)*100,"")</f>
        <v>100</v>
      </c>
      <c r="H36" s="865">
        <f>F36+G36</f>
        <v>100</v>
      </c>
      <c r="I36" s="866">
        <f>IFERROR(1/C36,"")</f>
        <v>1.7391304347826088E-3</v>
      </c>
      <c r="J36" s="512">
        <f>IFERROR(1/E36,"")</f>
        <v>1.0362694300518134E-3</v>
      </c>
      <c r="K36" s="857"/>
      <c r="L36" s="840"/>
      <c r="N36" s="445"/>
      <c r="O36" s="479"/>
      <c r="P36" s="479"/>
      <c r="Q36" s="479"/>
      <c r="R36" s="479"/>
      <c r="S36" s="480"/>
      <c r="T36" s="509"/>
      <c r="U36" s="513"/>
      <c r="V36" s="514"/>
      <c r="W36" s="514"/>
      <c r="X36" s="432"/>
      <c r="Y36" s="427"/>
    </row>
    <row r="37" spans="1:25" ht="15" x14ac:dyDescent="0.25">
      <c r="A37" s="864" t="s">
        <v>248</v>
      </c>
      <c r="B37" s="507">
        <f>B24</f>
        <v>3247.2322239031796</v>
      </c>
      <c r="C37" s="508">
        <f>C24</f>
        <v>660</v>
      </c>
      <c r="D37" s="507">
        <f>K23</f>
        <v>21147</v>
      </c>
      <c r="E37" s="508">
        <f>E36</f>
        <v>965</v>
      </c>
      <c r="F37" s="509">
        <f>IFERROR(B37/(B37+D37)*100,"")</f>
        <v>13.311475409836076</v>
      </c>
      <c r="G37" s="509">
        <f>IFERROR(D37/(B37+D37)*100,"")</f>
        <v>86.688524590163922</v>
      </c>
      <c r="H37" s="865">
        <f t="shared" ref="H37:H38" si="1">F37+G37</f>
        <v>100</v>
      </c>
      <c r="I37" s="866">
        <f>IFERROR(1/C37,"")</f>
        <v>1.5151515151515152E-3</v>
      </c>
      <c r="J37" s="512">
        <f>IFERROR(1/E37,"")</f>
        <v>1.0362694300518134E-3</v>
      </c>
      <c r="K37" s="857"/>
      <c r="L37" s="840"/>
      <c r="N37" s="445" t="s">
        <v>279</v>
      </c>
      <c r="O37" s="515">
        <f>O34/(O32+O34)</f>
        <v>0.13311475409836057</v>
      </c>
      <c r="P37" s="515">
        <f>P34/(P32+P34)</f>
        <v>1.5214310814192902E-2</v>
      </c>
      <c r="Q37" s="515">
        <f>Q34/(Q32+Q34)</f>
        <v>1.5915246686271976E-3</v>
      </c>
      <c r="R37" s="515">
        <f>R34/(R32+R34)</f>
        <v>1.6482176522867849E-4</v>
      </c>
      <c r="S37" s="516">
        <f>S34/(S32+S34)</f>
        <v>1.7051406288974693E-5</v>
      </c>
      <c r="T37" s="509"/>
      <c r="U37" s="513"/>
      <c r="V37" s="514"/>
      <c r="W37" s="514"/>
      <c r="X37" s="432"/>
      <c r="Y37" s="427"/>
    </row>
    <row r="38" spans="1:25" ht="15" x14ac:dyDescent="0.25">
      <c r="A38" s="867" t="s">
        <v>280</v>
      </c>
      <c r="B38" s="518">
        <f>K24</f>
        <v>24303.161796641438</v>
      </c>
      <c r="C38" s="519">
        <f>E37</f>
        <v>965</v>
      </c>
      <c r="D38" s="518">
        <f>B25</f>
        <v>0</v>
      </c>
      <c r="E38" s="519">
        <f>C25</f>
        <v>0</v>
      </c>
      <c r="F38" s="509">
        <f>IFERROR(B38/(B38+D38)*100,"")</f>
        <v>100</v>
      </c>
      <c r="G38" s="509">
        <f>IFERROR(D38/(B38+D38)*100,"")</f>
        <v>0</v>
      </c>
      <c r="H38" s="865">
        <f t="shared" si="1"/>
        <v>100</v>
      </c>
      <c r="I38" s="866">
        <f>IFERROR(1/C38,"")</f>
        <v>1.0362694300518134E-3</v>
      </c>
      <c r="J38" s="512" t="str">
        <f>IFERROR(1/E38,"")</f>
        <v/>
      </c>
      <c r="K38" s="857"/>
      <c r="L38" s="840"/>
      <c r="N38" s="445" t="s">
        <v>281</v>
      </c>
      <c r="O38" s="520">
        <f>31700*O37*(100-O37*100)^0.819*(1/O29-1/O30)^2.28</f>
        <v>4.3994380080766213E-3</v>
      </c>
      <c r="P38" s="520">
        <f t="shared" ref="P38:S38" si="2">31700*P37*(100-P37*100)^0.819*(1/P29-1/P30)^2.28</f>
        <v>4.5573109605246694E-4</v>
      </c>
      <c r="Q38" s="520">
        <f t="shared" si="2"/>
        <v>4.7148424538645405E-5</v>
      </c>
      <c r="R38" s="520">
        <f t="shared" si="2"/>
        <v>4.8771600066182117E-6</v>
      </c>
      <c r="S38" s="521">
        <f t="shared" si="2"/>
        <v>5.0449949244939847E-7</v>
      </c>
      <c r="T38" s="509"/>
      <c r="U38" s="513"/>
      <c r="V38" s="514"/>
      <c r="W38" s="514"/>
      <c r="X38" s="432"/>
      <c r="Y38" s="427"/>
    </row>
    <row r="39" spans="1:25" ht="15" x14ac:dyDescent="0.25">
      <c r="A39" s="868" t="s">
        <v>282</v>
      </c>
      <c r="B39" s="859" t="s">
        <v>283</v>
      </c>
      <c r="C39" s="859"/>
      <c r="D39" s="859"/>
      <c r="E39" s="859"/>
      <c r="F39" s="859"/>
      <c r="G39" s="859"/>
      <c r="H39" s="857"/>
      <c r="I39" s="857"/>
      <c r="J39" s="523"/>
      <c r="K39" s="857"/>
      <c r="L39" s="840"/>
      <c r="N39" s="445" t="s">
        <v>250</v>
      </c>
      <c r="O39" s="524">
        <f>-O38*(O32+O34)</f>
        <v>-107.3209124236871</v>
      </c>
      <c r="P39" s="524">
        <f>-P38*(P32+P34)</f>
        <v>-11.239298898484767</v>
      </c>
      <c r="Q39" s="524">
        <f>-Q38*(Q32+Q34)</f>
        <v>-1.1641032931955675</v>
      </c>
      <c r="R39" s="524">
        <f>-R38*(R32+R34)</f>
        <v>-0.1204321519404962</v>
      </c>
      <c r="S39" s="525">
        <f>-S38*(S32+S34)</f>
        <v>-1.245780313565611E-2</v>
      </c>
      <c r="T39" s="486"/>
      <c r="U39" s="432"/>
      <c r="V39" s="432"/>
      <c r="W39" s="432"/>
      <c r="X39" s="432"/>
      <c r="Y39" s="427"/>
    </row>
    <row r="40" spans="1:25" ht="15" x14ac:dyDescent="0.25">
      <c r="A40" s="868" t="s">
        <v>284</v>
      </c>
      <c r="B40" s="859" t="s">
        <v>285</v>
      </c>
      <c r="C40" s="859"/>
      <c r="D40" s="859"/>
      <c r="E40" s="859"/>
      <c r="F40" s="859"/>
      <c r="G40" s="859"/>
      <c r="H40" s="857"/>
      <c r="I40" s="857"/>
      <c r="J40" s="523"/>
      <c r="K40" s="857"/>
      <c r="L40" s="840"/>
      <c r="N40" s="445" t="s">
        <v>286</v>
      </c>
      <c r="O40" s="524">
        <f>O32+O34+O39</f>
        <v>24286.911311479489</v>
      </c>
      <c r="P40" s="524">
        <f>P32+P34+P39</f>
        <v>24650.889302461695</v>
      </c>
      <c r="Q40" s="524">
        <f>Q32+Q34+Q39</f>
        <v>24689.020236618424</v>
      </c>
      <c r="R40" s="524">
        <f>R32+R34+R39</f>
        <v>24692.969763181431</v>
      </c>
      <c r="S40" s="525">
        <f>S32+S34+S39</f>
        <v>24693.378362417825</v>
      </c>
      <c r="T40" s="486"/>
      <c r="U40" s="432"/>
      <c r="V40" s="432"/>
      <c r="W40" s="432"/>
      <c r="X40" s="432"/>
      <c r="Y40" s="427"/>
    </row>
    <row r="41" spans="1:25" ht="15.75" thickBot="1" x14ac:dyDescent="0.3">
      <c r="A41" s="868" t="s">
        <v>287</v>
      </c>
      <c r="B41" s="859" t="s">
        <v>288</v>
      </c>
      <c r="C41" s="859"/>
      <c r="D41" s="859"/>
      <c r="E41" s="859"/>
      <c r="F41" s="859"/>
      <c r="G41" s="859"/>
      <c r="H41" s="857"/>
      <c r="I41" s="857"/>
      <c r="J41" s="523"/>
      <c r="K41" s="857"/>
      <c r="L41" s="840"/>
      <c r="N41" s="455" t="s">
        <v>289</v>
      </c>
      <c r="O41" s="526">
        <f>(O33+O35)/O40</f>
        <v>928.48481136905878</v>
      </c>
      <c r="P41" s="526">
        <f>(P33+P35)/P40</f>
        <v>924.8214699021313</v>
      </c>
      <c r="Q41" s="526">
        <f>(Q33+Q35)/Q40</f>
        <v>924.4435860586575</v>
      </c>
      <c r="R41" s="526">
        <f>(R33+R35)/R40</f>
        <v>924.4045084686984</v>
      </c>
      <c r="S41" s="527">
        <f>(S33+S35)/S40</f>
        <v>924.40046635956594</v>
      </c>
      <c r="T41" s="486"/>
      <c r="U41" s="482"/>
      <c r="V41" s="482"/>
      <c r="W41" s="482"/>
      <c r="X41" s="482"/>
      <c r="Y41" s="427"/>
    </row>
    <row r="42" spans="1:25" x14ac:dyDescent="0.2">
      <c r="A42" s="869" t="s">
        <v>290</v>
      </c>
      <c r="B42" s="529" t="s">
        <v>291</v>
      </c>
      <c r="C42" s="529"/>
      <c r="D42" s="529"/>
      <c r="E42" s="529"/>
      <c r="F42" s="529"/>
      <c r="G42" s="529"/>
      <c r="H42" s="530"/>
      <c r="I42" s="530"/>
      <c r="J42" s="531"/>
      <c r="K42" s="530"/>
      <c r="L42" s="870"/>
      <c r="N42" s="528"/>
      <c r="O42" s="529"/>
      <c r="P42" s="529"/>
      <c r="Q42" s="529"/>
      <c r="R42" s="529"/>
      <c r="S42" s="529"/>
      <c r="T42" s="529"/>
      <c r="U42" s="530"/>
      <c r="V42" s="530"/>
      <c r="W42" s="530"/>
      <c r="X42" s="530"/>
      <c r="Y42" s="532"/>
    </row>
    <row r="43" spans="1:25" x14ac:dyDescent="0.2">
      <c r="A43" s="871"/>
      <c r="B43" s="832"/>
      <c r="C43" s="832"/>
      <c r="D43" s="832"/>
      <c r="E43" s="832"/>
      <c r="F43" s="832"/>
      <c r="G43" s="832"/>
      <c r="H43" s="832"/>
      <c r="I43" s="832"/>
      <c r="J43" s="832"/>
      <c r="K43" s="832"/>
      <c r="L43" s="872"/>
      <c r="N43" s="533"/>
      <c r="Y43" s="534"/>
    </row>
    <row r="44" spans="1:25" ht="23.25" x14ac:dyDescent="0.35">
      <c r="A44" s="597" t="s">
        <v>372</v>
      </c>
      <c r="B44" s="832"/>
      <c r="C44" s="832"/>
      <c r="D44" s="832"/>
      <c r="E44" s="832"/>
      <c r="F44" s="832"/>
      <c r="G44" s="832"/>
      <c r="H44" s="873"/>
      <c r="I44" s="832"/>
      <c r="J44" s="832"/>
      <c r="K44" s="832"/>
      <c r="L44" s="872"/>
      <c r="N44" s="535" t="s">
        <v>292</v>
      </c>
      <c r="U44" s="536"/>
      <c r="Y44" s="534"/>
    </row>
    <row r="45" spans="1:25" ht="15" x14ac:dyDescent="0.25">
      <c r="A45" s="871"/>
      <c r="B45" s="874"/>
      <c r="C45" s="538" t="s">
        <v>130</v>
      </c>
      <c r="D45" s="538" t="s">
        <v>277</v>
      </c>
      <c r="E45" s="539" t="s">
        <v>293</v>
      </c>
      <c r="F45" s="539" t="s">
        <v>235</v>
      </c>
      <c r="G45" s="831"/>
      <c r="H45" s="875"/>
      <c r="I45" s="831"/>
      <c r="J45" s="832"/>
      <c r="K45" s="832"/>
      <c r="L45" s="872"/>
      <c r="N45" s="533"/>
      <c r="O45" s="537"/>
      <c r="P45" s="538" t="s">
        <v>130</v>
      </c>
      <c r="Q45" s="538" t="s">
        <v>277</v>
      </c>
      <c r="R45" s="539" t="s">
        <v>293</v>
      </c>
      <c r="S45" s="539" t="s">
        <v>235</v>
      </c>
      <c r="T45" s="400"/>
      <c r="U45" s="540"/>
      <c r="V45" s="400"/>
      <c r="Y45" s="534"/>
    </row>
    <row r="46" spans="1:25" ht="18" x14ac:dyDescent="0.25">
      <c r="A46" s="876"/>
      <c r="B46" s="877" t="s">
        <v>294</v>
      </c>
      <c r="C46" s="543">
        <f>$B$22</f>
        <v>21147</v>
      </c>
      <c r="D46" s="543">
        <f>$C$22</f>
        <v>965</v>
      </c>
      <c r="E46" s="592"/>
      <c r="F46" s="592">
        <f>C46/C49</f>
        <v>0.86688524590163929</v>
      </c>
      <c r="G46" s="831"/>
      <c r="H46" s="873"/>
      <c r="I46" s="831"/>
      <c r="J46" s="832"/>
      <c r="K46" s="832"/>
      <c r="L46" s="872"/>
      <c r="N46" s="541"/>
      <c r="O46" s="542" t="s">
        <v>294</v>
      </c>
      <c r="P46" s="543">
        <f>$B$22</f>
        <v>21147</v>
      </c>
      <c r="Q46" s="543">
        <f>$C$22</f>
        <v>965</v>
      </c>
      <c r="R46" s="544"/>
      <c r="S46" s="544">
        <f>P46/P49</f>
        <v>0.85224677543198557</v>
      </c>
      <c r="T46" s="400"/>
      <c r="U46" s="545"/>
      <c r="V46" s="400"/>
      <c r="Y46" s="534"/>
    </row>
    <row r="47" spans="1:25" ht="18" x14ac:dyDescent="0.25">
      <c r="A47" s="878"/>
      <c r="B47" s="877" t="s">
        <v>189</v>
      </c>
      <c r="C47" s="543">
        <f>$B$24</f>
        <v>3247.2322239031796</v>
      </c>
      <c r="D47" s="551">
        <f>C24</f>
        <v>660</v>
      </c>
      <c r="E47" s="592">
        <f>C47/C46</f>
        <v>0.1535552193645992</v>
      </c>
      <c r="F47" s="592">
        <f>C47/C49</f>
        <v>0.13311475409836077</v>
      </c>
      <c r="G47" s="831"/>
      <c r="H47" s="875"/>
      <c r="I47" s="831"/>
      <c r="J47" s="832"/>
      <c r="K47" s="832"/>
      <c r="L47" s="872"/>
      <c r="N47" s="546"/>
      <c r="O47" s="542" t="s">
        <v>189</v>
      </c>
      <c r="P47" s="549">
        <f>$R$22</f>
        <v>3666.2355669882609</v>
      </c>
      <c r="Q47" s="547">
        <f>$O$29</f>
        <v>660</v>
      </c>
      <c r="R47" s="544">
        <f>P47/P46</f>
        <v>0.17336906260879845</v>
      </c>
      <c r="S47" s="544">
        <f>P47/P49</f>
        <v>0.14775322456801449</v>
      </c>
      <c r="T47" s="400"/>
      <c r="U47" s="548"/>
      <c r="V47" s="400"/>
      <c r="Y47" s="534"/>
    </row>
    <row r="48" spans="1:25" ht="18" x14ac:dyDescent="0.25">
      <c r="A48" s="879"/>
      <c r="B48" s="877" t="s">
        <v>295</v>
      </c>
      <c r="C48" s="543">
        <f>$B$23</f>
        <v>0</v>
      </c>
      <c r="D48" s="551">
        <f>$C$23</f>
        <v>575</v>
      </c>
      <c r="E48" s="592">
        <f>C48/C46</f>
        <v>0</v>
      </c>
      <c r="F48" s="592">
        <f>C48/C49</f>
        <v>0</v>
      </c>
      <c r="G48" s="831"/>
      <c r="H48" s="875"/>
      <c r="I48" s="831"/>
      <c r="J48" s="832"/>
      <c r="K48" s="832"/>
      <c r="L48" s="872"/>
      <c r="N48" s="550"/>
      <c r="O48" s="542" t="s">
        <v>295</v>
      </c>
      <c r="P48" s="549">
        <v>0</v>
      </c>
      <c r="Q48" s="551">
        <f>$C$23</f>
        <v>575</v>
      </c>
      <c r="R48" s="544">
        <f>P48/P46</f>
        <v>0</v>
      </c>
      <c r="S48" s="544">
        <f>P48/P49</f>
        <v>0</v>
      </c>
      <c r="T48" s="400"/>
      <c r="U48" s="548"/>
      <c r="V48" s="400"/>
      <c r="Y48" s="534"/>
    </row>
    <row r="49" spans="1:25" ht="18" x14ac:dyDescent="0.25">
      <c r="A49" s="879"/>
      <c r="B49" s="877" t="s">
        <v>439</v>
      </c>
      <c r="C49" s="552">
        <f>SUM(C46:C48)</f>
        <v>24394.232223903178</v>
      </c>
      <c r="D49" s="688">
        <f>SUMPRODUCT(C46:C48,D46:D48)/SUM(C46:C48)</f>
        <v>924.4</v>
      </c>
      <c r="E49" s="592"/>
      <c r="F49" s="592">
        <f>SUM(F46:F48)</f>
        <v>1</v>
      </c>
      <c r="G49" s="831"/>
      <c r="H49" s="875"/>
      <c r="I49" s="831"/>
      <c r="J49" s="832"/>
      <c r="K49" s="832"/>
      <c r="L49" s="872"/>
      <c r="N49" s="550"/>
      <c r="O49" s="542" t="s">
        <v>296</v>
      </c>
      <c r="P49" s="552">
        <f>SUM(P46:P48)</f>
        <v>24813.23556698826</v>
      </c>
      <c r="Q49" s="553">
        <f>SUMPRODUCT(P46:P48,Q46:Q48)/SUM(P46:P48)</f>
        <v>919.93526650675562</v>
      </c>
      <c r="R49" s="544"/>
      <c r="S49" s="544">
        <f>SUM(S46:S48)</f>
        <v>1</v>
      </c>
      <c r="T49" s="400"/>
      <c r="U49" s="540"/>
      <c r="V49" s="400"/>
      <c r="Y49" s="534"/>
    </row>
    <row r="50" spans="1:25" ht="18" x14ac:dyDescent="0.25">
      <c r="A50" s="879"/>
      <c r="B50" s="877" t="s">
        <v>297</v>
      </c>
      <c r="C50" s="554">
        <f>I26</f>
        <v>91.070427261740861</v>
      </c>
      <c r="D50" s="555"/>
      <c r="E50" s="831"/>
      <c r="F50" s="831"/>
      <c r="G50" s="831"/>
      <c r="H50" s="875"/>
      <c r="I50" s="831"/>
      <c r="J50" s="832"/>
      <c r="K50" s="832"/>
      <c r="L50" s="872"/>
      <c r="N50" s="550"/>
      <c r="O50" s="542" t="s">
        <v>297</v>
      </c>
      <c r="P50" s="556">
        <f>-R24</f>
        <v>119.85720457043499</v>
      </c>
      <c r="Q50" s="555"/>
      <c r="R50" s="400"/>
      <c r="S50" s="400"/>
      <c r="T50" s="400"/>
      <c r="U50" s="540"/>
      <c r="V50" s="400"/>
      <c r="Y50" s="534"/>
    </row>
    <row r="51" spans="1:25" ht="18" x14ac:dyDescent="0.25">
      <c r="A51" s="879"/>
      <c r="B51" s="877" t="s">
        <v>298</v>
      </c>
      <c r="C51" s="552">
        <f>C49-C50</f>
        <v>24303.161796641438</v>
      </c>
      <c r="D51" s="555"/>
      <c r="E51" s="831"/>
      <c r="F51" s="831"/>
      <c r="G51" s="831"/>
      <c r="H51" s="831"/>
      <c r="I51" s="831"/>
      <c r="J51" s="832"/>
      <c r="K51" s="832"/>
      <c r="L51" s="872"/>
      <c r="N51" s="550"/>
      <c r="O51" s="542" t="s">
        <v>298</v>
      </c>
      <c r="P51" s="552">
        <f>P49-P50</f>
        <v>24693.378362417825</v>
      </c>
      <c r="Q51" s="555"/>
      <c r="R51" s="400"/>
      <c r="S51" s="400"/>
      <c r="T51" s="400"/>
      <c r="U51" s="400"/>
      <c r="V51" s="400"/>
      <c r="Y51" s="534"/>
    </row>
    <row r="52" spans="1:25" ht="15" customHeight="1" x14ac:dyDescent="0.2">
      <c r="A52" s="879"/>
      <c r="B52" s="831"/>
      <c r="C52" s="831"/>
      <c r="D52" s="831"/>
      <c r="E52" s="831"/>
      <c r="F52" s="831"/>
      <c r="G52" s="831"/>
      <c r="H52" s="831"/>
      <c r="I52" s="831"/>
      <c r="J52" s="832"/>
      <c r="K52" s="832"/>
      <c r="L52" s="872"/>
      <c r="N52" s="550"/>
      <c r="O52" s="400"/>
      <c r="P52" s="400"/>
      <c r="Q52" s="400"/>
      <c r="R52" s="400"/>
      <c r="S52" s="400"/>
      <c r="T52" s="400"/>
      <c r="U52" s="400"/>
      <c r="V52" s="400"/>
      <c r="Y52" s="534"/>
    </row>
    <row r="53" spans="1:25" ht="15" customHeight="1" x14ac:dyDescent="0.2">
      <c r="A53" s="879"/>
      <c r="B53" s="831"/>
      <c r="C53" s="539" t="s">
        <v>130</v>
      </c>
      <c r="D53" s="539" t="s">
        <v>299</v>
      </c>
      <c r="E53" s="539" t="s">
        <v>300</v>
      </c>
      <c r="F53" s="831"/>
      <c r="G53" s="831"/>
      <c r="H53" s="831"/>
      <c r="I53" s="831"/>
      <c r="J53" s="832"/>
      <c r="K53" s="832"/>
      <c r="L53" s="872"/>
      <c r="N53" s="550"/>
      <c r="O53" s="400"/>
      <c r="P53" s="539" t="s">
        <v>130</v>
      </c>
      <c r="Q53" s="539" t="s">
        <v>299</v>
      </c>
      <c r="R53" s="539" t="s">
        <v>300</v>
      </c>
      <c r="S53" s="400"/>
      <c r="T53" s="400"/>
      <c r="U53" s="400"/>
      <c r="V53" s="400"/>
      <c r="Y53" s="534"/>
    </row>
    <row r="54" spans="1:25" ht="15" customHeight="1" x14ac:dyDescent="0.2">
      <c r="A54" s="879"/>
      <c r="B54" s="830" t="s">
        <v>301</v>
      </c>
      <c r="C54" s="880">
        <f>C51</f>
        <v>24303.161796641438</v>
      </c>
      <c r="D54" s="881">
        <f>E8</f>
        <v>565.73895526375509</v>
      </c>
      <c r="E54" s="401">
        <f>C54*D54</f>
        <v>13749245.364437932</v>
      </c>
      <c r="F54" s="831"/>
      <c r="G54" s="832"/>
      <c r="H54" s="831"/>
      <c r="I54" s="831"/>
      <c r="J54" s="832"/>
      <c r="K54" s="832"/>
      <c r="L54" s="872"/>
      <c r="N54" s="550"/>
      <c r="O54" s="398" t="s">
        <v>301</v>
      </c>
      <c r="P54" s="557">
        <f>P51</f>
        <v>24693.378362417825</v>
      </c>
      <c r="Q54" s="558">
        <f>D54</f>
        <v>565.73895526375509</v>
      </c>
      <c r="R54" s="559">
        <f>P54*Q54</f>
        <v>13970006.076686876</v>
      </c>
      <c r="S54" s="400"/>
      <c r="U54" s="400"/>
      <c r="V54" s="400"/>
      <c r="Y54" s="534"/>
    </row>
    <row r="55" spans="1:25" x14ac:dyDescent="0.2">
      <c r="A55" s="871"/>
      <c r="B55" s="830" t="s">
        <v>302</v>
      </c>
      <c r="C55" s="880">
        <f>C47</f>
        <v>3247.2322239031796</v>
      </c>
      <c r="D55" s="881">
        <f>I15*-1</f>
        <v>-658.30766645899507</v>
      </c>
      <c r="E55" s="560">
        <f>C55*D55</f>
        <v>-2137677.8677681549</v>
      </c>
      <c r="F55" s="831"/>
      <c r="G55" s="831"/>
      <c r="H55" s="831"/>
      <c r="I55" s="831"/>
      <c r="J55" s="832"/>
      <c r="K55" s="832"/>
      <c r="L55" s="872"/>
      <c r="N55" s="533"/>
      <c r="O55" s="398" t="s">
        <v>302</v>
      </c>
      <c r="P55" s="557">
        <f>P47</f>
        <v>3666.2355669882609</v>
      </c>
      <c r="Q55" s="558">
        <f t="shared" ref="Q55:Q61" si="3">D55</f>
        <v>-658.30766645899507</v>
      </c>
      <c r="R55" s="560">
        <f>P55*Q55</f>
        <v>-2413510.9807930128</v>
      </c>
      <c r="S55" s="400"/>
      <c r="T55" s="400"/>
      <c r="U55" s="400"/>
      <c r="V55" s="400"/>
      <c r="Y55" s="534"/>
    </row>
    <row r="56" spans="1:25" x14ac:dyDescent="0.2">
      <c r="A56" s="871"/>
      <c r="B56" s="830" t="s">
        <v>303</v>
      </c>
      <c r="C56" s="880">
        <f>C48</f>
        <v>0</v>
      </c>
      <c r="D56" s="881">
        <v>0</v>
      </c>
      <c r="E56" s="560">
        <f>C56*D56</f>
        <v>0</v>
      </c>
      <c r="F56" s="831"/>
      <c r="G56" s="831"/>
      <c r="H56" s="831"/>
      <c r="I56" s="831"/>
      <c r="J56" s="831"/>
      <c r="K56" s="832"/>
      <c r="L56" s="872"/>
      <c r="N56" s="533"/>
      <c r="O56" s="398" t="s">
        <v>303</v>
      </c>
      <c r="P56" s="557">
        <f>P48</f>
        <v>0</v>
      </c>
      <c r="Q56" s="558">
        <f t="shared" si="3"/>
        <v>0</v>
      </c>
      <c r="R56" s="560">
        <f>P56*Q56</f>
        <v>0</v>
      </c>
      <c r="S56" s="400"/>
      <c r="T56" s="400"/>
      <c r="U56" s="400"/>
      <c r="V56" s="400"/>
      <c r="W56" s="400"/>
      <c r="Y56" s="534"/>
    </row>
    <row r="57" spans="1:25" x14ac:dyDescent="0.2">
      <c r="A57" s="871"/>
      <c r="B57" s="830" t="s">
        <v>304</v>
      </c>
      <c r="C57" s="880">
        <f>C55</f>
        <v>3247.2322239031796</v>
      </c>
      <c r="D57" s="560">
        <f>-(Inputs!C9+Inputs!C11)</f>
        <v>-38.189655172413794</v>
      </c>
      <c r="E57" s="560">
        <f t="shared" ref="E57:E61" si="4">C57*D57</f>
        <v>-124010.67889561281</v>
      </c>
      <c r="F57" s="831"/>
      <c r="G57" s="831"/>
      <c r="H57" s="831"/>
      <c r="I57" s="830"/>
      <c r="J57" s="831"/>
      <c r="K57" s="832"/>
      <c r="L57" s="872"/>
      <c r="N57" s="533"/>
      <c r="O57" s="398" t="s">
        <v>304</v>
      </c>
      <c r="P57" s="557">
        <f>P55</f>
        <v>3666.2355669882609</v>
      </c>
      <c r="Q57" s="558">
        <f t="shared" si="3"/>
        <v>-38.189655172413794</v>
      </c>
      <c r="R57" s="560">
        <f t="shared" ref="R57:R61" si="5">P57*Q57</f>
        <v>-140012.27208412066</v>
      </c>
      <c r="S57" s="400"/>
      <c r="T57" s="400"/>
      <c r="U57" s="400"/>
      <c r="V57" s="398"/>
      <c r="W57" s="400"/>
      <c r="Y57" s="534"/>
    </row>
    <row r="58" spans="1:25" x14ac:dyDescent="0.2">
      <c r="A58" s="871"/>
      <c r="B58" s="830" t="s">
        <v>305</v>
      </c>
      <c r="C58" s="880">
        <f>C49</f>
        <v>24394.232223903178</v>
      </c>
      <c r="D58" s="560">
        <f>-('Spur-Netback'!F106+'Spur-Netback'!F107+'Spur-Netback'!F114+'Spur-Netback'!F115+'Spur-Netback'!F116+'Spur-Netback'!F117+'Spur-Netback'!F118)</f>
        <v>-24.147900000000003</v>
      </c>
      <c r="E58" s="560">
        <f t="shared" si="4"/>
        <v>-589069.48031959159</v>
      </c>
      <c r="F58" s="831"/>
      <c r="G58" s="831"/>
      <c r="H58" s="831"/>
      <c r="I58" s="830" t="s">
        <v>306</v>
      </c>
      <c r="J58" s="882">
        <f>E54</f>
        <v>13749245.364437932</v>
      </c>
      <c r="K58" s="689">
        <f>J58/$C$46</f>
        <v>650.17474650957263</v>
      </c>
      <c r="L58" s="872"/>
      <c r="N58" s="533"/>
      <c r="O58" s="398" t="s">
        <v>305</v>
      </c>
      <c r="P58" s="557">
        <f>P51</f>
        <v>24693.378362417825</v>
      </c>
      <c r="Q58" s="558">
        <f t="shared" si="3"/>
        <v>-24.147900000000003</v>
      </c>
      <c r="R58" s="560">
        <f t="shared" si="5"/>
        <v>-596293.23135782953</v>
      </c>
      <c r="S58" s="400"/>
      <c r="T58" s="400"/>
      <c r="U58" s="400"/>
      <c r="V58" s="398"/>
      <c r="W58" s="561"/>
      <c r="X58" s="562"/>
      <c r="Y58" s="534"/>
    </row>
    <row r="59" spans="1:25" x14ac:dyDescent="0.2">
      <c r="A59" s="871"/>
      <c r="B59" s="830" t="s">
        <v>307</v>
      </c>
      <c r="C59" s="880">
        <f>C49*Inputs!C26</f>
        <v>48.788464447806355</v>
      </c>
      <c r="D59" s="560">
        <f>D54*-1</f>
        <v>-565.73895526375509</v>
      </c>
      <c r="E59" s="560">
        <f t="shared" si="4"/>
        <v>-27601.534905624823</v>
      </c>
      <c r="F59" s="831"/>
      <c r="G59" s="831"/>
      <c r="H59" s="831"/>
      <c r="I59" s="830" t="s">
        <v>308</v>
      </c>
      <c r="J59" s="882">
        <f>E55+E56</f>
        <v>-2137677.8677681549</v>
      </c>
      <c r="K59" s="689">
        <f t="shared" ref="K59:K61" si="6">J59/$C$46</f>
        <v>-101.08657813250839</v>
      </c>
      <c r="L59" s="872"/>
      <c r="N59" s="533"/>
      <c r="O59" s="398" t="s">
        <v>307</v>
      </c>
      <c r="P59" s="557">
        <f>P51*0.001</f>
        <v>24.693378362417825</v>
      </c>
      <c r="Q59" s="558">
        <f t="shared" si="3"/>
        <v>-565.73895526375509</v>
      </c>
      <c r="R59" s="560">
        <f t="shared" si="5"/>
        <v>-13970.006076686876</v>
      </c>
      <c r="S59" s="400"/>
      <c r="T59" s="400"/>
      <c r="U59" s="400"/>
      <c r="V59" s="398"/>
      <c r="W59" s="561"/>
      <c r="X59" s="562"/>
      <c r="Y59" s="534"/>
    </row>
    <row r="60" spans="1:25" x14ac:dyDescent="0.2">
      <c r="A60" s="871"/>
      <c r="B60" s="830" t="s">
        <v>309</v>
      </c>
      <c r="C60" s="880">
        <v>0</v>
      </c>
      <c r="D60" s="560">
        <v>0</v>
      </c>
      <c r="E60" s="560">
        <f t="shared" si="4"/>
        <v>0</v>
      </c>
      <c r="F60" s="831"/>
      <c r="G60" s="831"/>
      <c r="H60" s="831"/>
      <c r="I60" s="830" t="s">
        <v>310</v>
      </c>
      <c r="J60" s="882">
        <f>E57</f>
        <v>-124010.67889561281</v>
      </c>
      <c r="K60" s="689">
        <f t="shared" si="6"/>
        <v>-5.8642208774584015</v>
      </c>
      <c r="L60" s="872"/>
      <c r="N60" s="533"/>
      <c r="O60" s="398" t="s">
        <v>309</v>
      </c>
      <c r="P60" s="557">
        <v>0</v>
      </c>
      <c r="Q60" s="560">
        <f t="shared" si="3"/>
        <v>0</v>
      </c>
      <c r="R60" s="560">
        <f t="shared" si="5"/>
        <v>0</v>
      </c>
      <c r="S60" s="400"/>
      <c r="T60" s="400"/>
      <c r="U60" s="400"/>
      <c r="V60" s="398"/>
      <c r="W60" s="561"/>
      <c r="X60" s="562"/>
      <c r="Y60" s="534"/>
    </row>
    <row r="61" spans="1:25" x14ac:dyDescent="0.2">
      <c r="A61" s="871"/>
      <c r="B61" s="830" t="s">
        <v>307</v>
      </c>
      <c r="C61" s="563">
        <v>0</v>
      </c>
      <c r="D61" s="602">
        <v>0</v>
      </c>
      <c r="E61" s="401">
        <f t="shared" si="4"/>
        <v>0</v>
      </c>
      <c r="F61" s="831"/>
      <c r="G61" s="831"/>
      <c r="H61" s="831"/>
      <c r="I61" s="830" t="s">
        <v>311</v>
      </c>
      <c r="J61" s="882">
        <f>E58+E59+E60+E61</f>
        <v>-616671.0152252164</v>
      </c>
      <c r="K61" s="689">
        <f t="shared" si="6"/>
        <v>-29.161158330979166</v>
      </c>
      <c r="L61" s="872"/>
      <c r="N61" s="533"/>
      <c r="O61" s="398" t="s">
        <v>307</v>
      </c>
      <c r="P61" s="563">
        <v>0</v>
      </c>
      <c r="Q61" s="602">
        <f t="shared" si="3"/>
        <v>0</v>
      </c>
      <c r="R61" s="559">
        <f t="shared" si="5"/>
        <v>0</v>
      </c>
      <c r="S61" s="400"/>
      <c r="T61" s="400"/>
      <c r="U61" s="400"/>
      <c r="V61" s="398"/>
      <c r="W61" s="561"/>
      <c r="X61" s="562"/>
      <c r="Y61" s="534"/>
    </row>
    <row r="62" spans="1:25" ht="18.75" thickBot="1" x14ac:dyDescent="0.3">
      <c r="A62" s="883"/>
      <c r="B62" s="832"/>
      <c r="C62" s="695"/>
      <c r="D62" s="566" t="s">
        <v>312</v>
      </c>
      <c r="E62" s="612">
        <f>SUM(E54:E61)</f>
        <v>10870885.802548947</v>
      </c>
      <c r="F62" s="831"/>
      <c r="G62" s="831"/>
      <c r="H62" s="832"/>
      <c r="I62" s="830"/>
      <c r="J62" s="690">
        <f>SUM(J58:J61)</f>
        <v>10870885.802548947</v>
      </c>
      <c r="K62" s="401">
        <f>SUM(K58:K61)</f>
        <v>514.06278916862664</v>
      </c>
      <c r="L62" s="872"/>
      <c r="N62" s="564"/>
      <c r="P62" s="565"/>
      <c r="Q62" s="566" t="s">
        <v>312</v>
      </c>
      <c r="R62" s="567">
        <f>SUM(R54:R61)</f>
        <v>10806219.586375227</v>
      </c>
      <c r="S62" s="400"/>
      <c r="T62" s="400"/>
      <c r="V62" s="398"/>
      <c r="W62" s="561"/>
      <c r="X62" s="401"/>
      <c r="Y62" s="534"/>
    </row>
    <row r="63" spans="1:25" ht="13.5" thickTop="1" x14ac:dyDescent="0.2">
      <c r="A63" s="884"/>
      <c r="B63" s="832"/>
      <c r="C63" s="885"/>
      <c r="D63" s="830" t="s">
        <v>313</v>
      </c>
      <c r="E63" s="886">
        <f>C46</f>
        <v>21147</v>
      </c>
      <c r="F63" s="874" t="s">
        <v>130</v>
      </c>
      <c r="G63" s="832"/>
      <c r="H63" s="831"/>
      <c r="I63" s="887"/>
      <c r="J63" s="832"/>
      <c r="K63" s="888">
        <f>E64</f>
        <v>514.06278916862664</v>
      </c>
      <c r="L63" s="872"/>
      <c r="N63" s="568"/>
      <c r="P63" s="569"/>
      <c r="Q63" s="398" t="s">
        <v>313</v>
      </c>
      <c r="R63" s="570">
        <f>P46</f>
        <v>21147</v>
      </c>
      <c r="S63" s="537" t="s">
        <v>130</v>
      </c>
      <c r="U63" s="400"/>
      <c r="V63" s="571"/>
      <c r="X63" s="572"/>
      <c r="Y63" s="534"/>
    </row>
    <row r="64" spans="1:25" s="574" customFormat="1" ht="18" x14ac:dyDescent="0.25">
      <c r="A64" s="889"/>
      <c r="B64" s="890"/>
      <c r="C64" s="890"/>
      <c r="D64" s="830" t="s">
        <v>314</v>
      </c>
      <c r="E64" s="691">
        <f>E62/E63</f>
        <v>514.06278916862664</v>
      </c>
      <c r="F64" s="874" t="s">
        <v>315</v>
      </c>
      <c r="G64" s="890"/>
      <c r="H64" s="890"/>
      <c r="I64" s="891"/>
      <c r="J64" s="890"/>
      <c r="K64" s="892">
        <f>K62-K63</f>
        <v>0</v>
      </c>
      <c r="L64" s="893" t="s">
        <v>316</v>
      </c>
      <c r="N64" s="573"/>
      <c r="Q64" s="398" t="s">
        <v>332</v>
      </c>
      <c r="R64" s="575">
        <f>R62/R63</f>
        <v>511.00485110773286</v>
      </c>
      <c r="S64" s="537" t="s">
        <v>315</v>
      </c>
      <c r="V64" s="576"/>
      <c r="X64" s="577"/>
      <c r="Y64" s="578"/>
    </row>
    <row r="65" spans="1:25" x14ac:dyDescent="0.2">
      <c r="A65" s="889"/>
      <c r="B65" s="885"/>
      <c r="C65" s="832"/>
      <c r="D65" s="830"/>
      <c r="E65" s="692">
        <f>E64/6.29287</f>
        <v>81.689720138605537</v>
      </c>
      <c r="F65" s="831" t="s">
        <v>317</v>
      </c>
      <c r="G65" s="832"/>
      <c r="H65" s="832"/>
      <c r="I65" s="887"/>
      <c r="J65" s="832"/>
      <c r="K65" s="832"/>
      <c r="L65" s="872"/>
      <c r="N65" s="573"/>
      <c r="O65" s="569"/>
      <c r="Q65" s="398"/>
      <c r="R65" s="579">
        <f>R64/6.29287</f>
        <v>81.203783187596898</v>
      </c>
      <c r="S65" s="400" t="s">
        <v>317</v>
      </c>
      <c r="V65" s="571"/>
      <c r="Y65" s="534"/>
    </row>
    <row r="66" spans="1:25" x14ac:dyDescent="0.2">
      <c r="A66" s="889"/>
      <c r="B66" s="885"/>
      <c r="C66" s="832"/>
      <c r="D66" s="693"/>
      <c r="E66" s="692">
        <f>E65/B7</f>
        <v>59.760576567252301</v>
      </c>
      <c r="F66" s="831" t="s">
        <v>318</v>
      </c>
      <c r="G66" s="832"/>
      <c r="H66" s="832"/>
      <c r="I66" s="832"/>
      <c r="J66" s="832"/>
      <c r="K66" s="832"/>
      <c r="L66" s="872"/>
      <c r="N66" s="573"/>
      <c r="O66" s="569"/>
      <c r="Q66" s="580"/>
      <c r="R66" s="581"/>
      <c r="S66" s="400"/>
      <c r="Y66" s="534"/>
    </row>
    <row r="67" spans="1:25" x14ac:dyDescent="0.2">
      <c r="A67" s="889"/>
      <c r="B67" s="885"/>
      <c r="C67" s="832"/>
      <c r="D67" s="693" t="s">
        <v>419</v>
      </c>
      <c r="E67" s="560">
        <f>E66-B6</f>
        <v>-18.859423432747704</v>
      </c>
      <c r="F67" s="831" t="s">
        <v>318</v>
      </c>
      <c r="G67" s="832"/>
      <c r="H67" s="832"/>
      <c r="I67" s="832"/>
      <c r="J67" s="832"/>
      <c r="K67" s="832"/>
      <c r="L67" s="872"/>
      <c r="N67" s="573"/>
      <c r="O67" s="569"/>
      <c r="Q67" s="580"/>
      <c r="R67" s="560"/>
      <c r="S67" s="400"/>
      <c r="Y67" s="534"/>
    </row>
    <row r="68" spans="1:25" x14ac:dyDescent="0.2">
      <c r="A68" s="889"/>
      <c r="B68" s="885"/>
      <c r="C68" s="890"/>
      <c r="D68" s="693" t="s">
        <v>418</v>
      </c>
      <c r="E68" s="560">
        <f>E67-B8</f>
        <v>-6.0394234327477037</v>
      </c>
      <c r="F68" s="831" t="s">
        <v>318</v>
      </c>
      <c r="G68" s="832"/>
      <c r="H68" s="832"/>
      <c r="I68" s="832"/>
      <c r="J68" s="832"/>
      <c r="K68" s="832"/>
      <c r="L68" s="872"/>
      <c r="N68" s="573"/>
      <c r="O68" s="569"/>
      <c r="P68" s="574"/>
      <c r="Q68" s="580"/>
      <c r="R68" s="560"/>
      <c r="S68" s="400"/>
      <c r="Y68" s="534"/>
    </row>
    <row r="69" spans="1:25" x14ac:dyDescent="0.2">
      <c r="A69" s="889"/>
      <c r="B69" s="885"/>
      <c r="C69" s="890"/>
      <c r="D69" s="693" t="s">
        <v>420</v>
      </c>
      <c r="E69" s="901">
        <f>E64-(D54+D58+(C59/C54)*D59)</f>
        <v>-26.392548235181494</v>
      </c>
      <c r="F69" s="874" t="s">
        <v>315</v>
      </c>
      <c r="G69" s="832"/>
      <c r="H69" s="832"/>
      <c r="I69" s="832"/>
      <c r="J69" s="832"/>
      <c r="K69" s="832"/>
      <c r="L69" s="872"/>
      <c r="N69" s="573"/>
      <c r="O69" s="569"/>
      <c r="P69" s="574"/>
      <c r="Q69" s="580" t="s">
        <v>331</v>
      </c>
      <c r="R69" s="582">
        <f>R64-(Q54+Q58+P59/P54*Q59)</f>
        <v>-30.020465200758395</v>
      </c>
      <c r="S69" s="400"/>
      <c r="Y69" s="534"/>
    </row>
    <row r="70" spans="1:25" ht="13.5" thickBot="1" x14ac:dyDescent="0.25">
      <c r="A70" s="894"/>
      <c r="B70" s="828"/>
      <c r="C70" s="829"/>
      <c r="D70" s="830" t="s">
        <v>420</v>
      </c>
      <c r="E70" s="901">
        <f>(((C55-C50-C59)*D54)-(C55*I15))/C46</f>
        <v>-17.956009135975595</v>
      </c>
      <c r="F70" s="831" t="s">
        <v>315</v>
      </c>
      <c r="G70" s="832" t="s">
        <v>411</v>
      </c>
      <c r="H70" s="832"/>
      <c r="I70" s="832"/>
      <c r="J70" s="832"/>
      <c r="K70" s="832"/>
      <c r="L70" s="872"/>
      <c r="N70" s="583"/>
      <c r="O70" s="584"/>
      <c r="P70" s="585"/>
      <c r="Q70" s="586"/>
      <c r="R70" s="586"/>
      <c r="S70" s="586"/>
      <c r="T70" s="586"/>
      <c r="U70" s="586"/>
      <c r="V70" s="586"/>
      <c r="W70" s="586"/>
      <c r="X70" s="586"/>
      <c r="Y70" s="587"/>
    </row>
    <row r="71" spans="1:25" ht="14.25" thickTop="1" thickBot="1" x14ac:dyDescent="0.25">
      <c r="A71" s="903"/>
      <c r="B71" s="904"/>
      <c r="C71" s="897"/>
      <c r="D71" s="404" t="s">
        <v>416</v>
      </c>
      <c r="E71" s="898">
        <f>(E55+E56+E57)/C51</f>
        <v>-93.061494038867011</v>
      </c>
      <c r="F71" s="899" t="s">
        <v>315</v>
      </c>
      <c r="G71" s="403"/>
      <c r="H71" s="403"/>
      <c r="I71" s="403"/>
      <c r="J71" s="403"/>
      <c r="K71" s="403"/>
      <c r="L71" s="900"/>
      <c r="N71" s="827"/>
      <c r="O71" s="828"/>
      <c r="P71" s="829"/>
      <c r="Q71" s="832"/>
      <c r="R71" s="832"/>
      <c r="S71" s="832"/>
      <c r="T71" s="832"/>
      <c r="U71" s="832"/>
      <c r="V71" s="832"/>
      <c r="W71" s="832"/>
      <c r="X71" s="832"/>
      <c r="Y71" s="832"/>
    </row>
    <row r="72" spans="1:25" x14ac:dyDescent="0.2">
      <c r="A72" s="588"/>
      <c r="B72" s="589"/>
      <c r="C72" s="590"/>
      <c r="D72" s="406"/>
      <c r="E72" s="406"/>
      <c r="F72" s="406"/>
      <c r="G72" s="406"/>
      <c r="H72" s="406"/>
      <c r="I72" s="406"/>
      <c r="J72" s="406"/>
      <c r="K72" s="406"/>
      <c r="L72" s="406"/>
    </row>
    <row r="73" spans="1:25" ht="13.5" thickBot="1" x14ac:dyDescent="0.25">
      <c r="A73" s="406"/>
      <c r="B73" s="406"/>
      <c r="C73" s="406"/>
      <c r="D73" s="406"/>
      <c r="E73" s="406"/>
      <c r="F73" s="406"/>
      <c r="G73" s="406"/>
      <c r="H73" s="406"/>
      <c r="I73" s="406"/>
      <c r="J73" s="406"/>
      <c r="K73" s="406"/>
      <c r="L73" s="406"/>
    </row>
    <row r="74" spans="1:25" ht="27.75" thickTop="1" thickBot="1" x14ac:dyDescent="0.45">
      <c r="A74" s="621" t="s">
        <v>373</v>
      </c>
      <c r="B74" s="622"/>
      <c r="C74" s="622"/>
      <c r="D74" s="622"/>
      <c r="E74" s="623"/>
      <c r="F74" s="624"/>
      <c r="G74" s="625"/>
      <c r="H74" s="625"/>
      <c r="I74" s="625"/>
      <c r="J74" s="625"/>
      <c r="K74" s="625"/>
      <c r="L74" s="626"/>
      <c r="Q74" s="591"/>
      <c r="T74" s="400"/>
    </row>
    <row r="75" spans="1:25" x14ac:dyDescent="0.2">
      <c r="A75" s="718" t="s">
        <v>371</v>
      </c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20"/>
    </row>
    <row r="76" spans="1:25" x14ac:dyDescent="0.2">
      <c r="A76" s="721"/>
      <c r="B76" s="722" t="s">
        <v>231</v>
      </c>
      <c r="C76" s="723"/>
      <c r="D76" s="724"/>
      <c r="E76" s="725"/>
      <c r="F76" s="725"/>
      <c r="G76" s="725"/>
      <c r="H76" s="665" t="s">
        <v>127</v>
      </c>
      <c r="I76" s="666"/>
      <c r="J76" s="666"/>
      <c r="K76" s="667"/>
      <c r="L76" s="726"/>
    </row>
    <row r="77" spans="1:25" x14ac:dyDescent="0.2">
      <c r="A77" s="700"/>
      <c r="B77" s="727" t="s">
        <v>130</v>
      </c>
      <c r="C77" s="728" t="s">
        <v>234</v>
      </c>
      <c r="D77" s="729" t="s">
        <v>235</v>
      </c>
      <c r="F77" s="45"/>
      <c r="G77" s="45"/>
      <c r="H77" s="668" t="s">
        <v>236</v>
      </c>
      <c r="I77" s="669" t="s">
        <v>237</v>
      </c>
      <c r="J77" s="669" t="s">
        <v>238</v>
      </c>
      <c r="K77" s="670" t="s">
        <v>239</v>
      </c>
      <c r="L77" s="726"/>
    </row>
    <row r="78" spans="1:25" x14ac:dyDescent="0.2">
      <c r="A78" s="712" t="s">
        <v>242</v>
      </c>
      <c r="B78" s="639">
        <f>$B$22</f>
        <v>21147</v>
      </c>
      <c r="C78" s="639">
        <f>$C$22</f>
        <v>965</v>
      </c>
      <c r="D78" s="730">
        <f>B78/B82</f>
        <v>0.87466112670511797</v>
      </c>
      <c r="E78" s="45"/>
      <c r="F78" s="45"/>
      <c r="G78" s="45"/>
      <c r="H78" s="671" t="s">
        <v>112</v>
      </c>
      <c r="I78" s="672" t="s">
        <v>130</v>
      </c>
      <c r="J78" s="673"/>
      <c r="K78" s="674"/>
      <c r="L78" s="726"/>
    </row>
    <row r="79" spans="1:25" x14ac:dyDescent="0.2">
      <c r="A79" s="712" t="s">
        <v>245</v>
      </c>
      <c r="B79" s="639">
        <f>$B$78*$E$79</f>
        <v>674.58929999999998</v>
      </c>
      <c r="C79" s="639">
        <v>575</v>
      </c>
      <c r="D79" s="730">
        <f>B79/B82</f>
        <v>2.7901689941893262E-2</v>
      </c>
      <c r="E79" s="763">
        <f>Inputs!C25</f>
        <v>3.1899999999999998E-2</v>
      </c>
      <c r="F79" s="94" t="s">
        <v>375</v>
      </c>
      <c r="G79" s="45"/>
      <c r="H79" s="627">
        <f>IFERROR(26900*F91*(100-F91)^0.819*(I91-J91)^2.28,0)</f>
        <v>0.22782348435166905</v>
      </c>
      <c r="I79" s="628">
        <f>IFERROR(H79/100*(B91+D91),0)</f>
        <v>49.714705084170987</v>
      </c>
      <c r="J79" s="628">
        <f>B91+D91</f>
        <v>21821.5893</v>
      </c>
      <c r="K79" s="629">
        <f>B91+D91-I79</f>
        <v>21771.874594915829</v>
      </c>
      <c r="L79" s="726"/>
    </row>
    <row r="80" spans="1:25" x14ac:dyDescent="0.2">
      <c r="A80" s="712" t="s">
        <v>248</v>
      </c>
      <c r="B80" s="639">
        <f>MAX(0,($B$78*$C$78+$B$79*$C$79-$D$49*$B$78-$D$49*$B$79)/($D$49-C80))</f>
        <v>2355.7742003782128</v>
      </c>
      <c r="C80" s="639">
        <f>$C$24</f>
        <v>660</v>
      </c>
      <c r="D80" s="730">
        <f>B80/B82</f>
        <v>9.7437183352988885E-2</v>
      </c>
      <c r="E80" s="735">
        <f>D49</f>
        <v>924.4</v>
      </c>
      <c r="F80" s="76" t="s">
        <v>423</v>
      </c>
      <c r="G80" s="45"/>
      <c r="H80" s="627">
        <f>IFERROR(26900*F92*(100-F92)^0.819*(I92-J92)^2.28,0)</f>
        <v>0.28297561843050922</v>
      </c>
      <c r="I80" s="628">
        <f>IFERROR(H80/100*(B92+D92),0)</f>
        <v>68.275363391224616</v>
      </c>
      <c r="J80" s="628">
        <f>B92+D92</f>
        <v>24127.648795294041</v>
      </c>
      <c r="K80" s="629">
        <f>B92+D92-I80</f>
        <v>24059.373431902815</v>
      </c>
      <c r="L80" s="726"/>
    </row>
    <row r="81" spans="1:12" ht="13.5" thickBot="1" x14ac:dyDescent="0.25">
      <c r="A81" s="731"/>
      <c r="B81" s="458"/>
      <c r="C81" s="732"/>
      <c r="D81" s="733"/>
      <c r="E81" s="45"/>
      <c r="F81" s="45"/>
      <c r="G81" s="45"/>
      <c r="H81" s="630">
        <f>IFERROR(26900*F93*(100-F93)^0.819*(I93-J93)^2.28,0)</f>
        <v>0</v>
      </c>
      <c r="I81" s="631">
        <f>IFERROR(H81/100*(B93+D93),0)</f>
        <v>0</v>
      </c>
      <c r="J81" s="631">
        <f>B93+D93</f>
        <v>24059.373431902815</v>
      </c>
      <c r="K81" s="632">
        <f>B93+D93-I81</f>
        <v>24059.373431902815</v>
      </c>
      <c r="L81" s="726"/>
    </row>
    <row r="82" spans="1:12" ht="13.5" thickBot="1" x14ac:dyDescent="0.25">
      <c r="A82" s="712" t="s">
        <v>251</v>
      </c>
      <c r="B82" s="461">
        <f>SUM(B78:B81)</f>
        <v>24177.363500378211</v>
      </c>
      <c r="C82" s="45"/>
      <c r="D82" s="653">
        <f>SUM(D78:D81)</f>
        <v>1</v>
      </c>
      <c r="E82" s="45"/>
      <c r="F82" s="45"/>
      <c r="G82" s="45"/>
      <c r="H82" s="633">
        <f>IF(I82=0,"",(I82/K82))</f>
        <v>4.9041205835784717E-3</v>
      </c>
      <c r="I82" s="675">
        <f>(SUM(I79:I81))*1</f>
        <v>117.9900684753956</v>
      </c>
      <c r="J82" s="676"/>
      <c r="K82" s="677">
        <f>K81</f>
        <v>24059.373431902815</v>
      </c>
      <c r="L82" s="726"/>
    </row>
    <row r="83" spans="1:12" x14ac:dyDescent="0.2">
      <c r="A83" s="712" t="s">
        <v>253</v>
      </c>
      <c r="B83" s="639">
        <f>SUMPRODUCT(B78:B81,C78:C81)/SUM(B78:B81)</f>
        <v>924.40000000000009</v>
      </c>
      <c r="C83" s="756" t="str">
        <f>IF(B83&gt;E83, "Okay", "Check Overblending!")</f>
        <v>Okay</v>
      </c>
      <c r="E83" s="757">
        <f>Inputs!C17</f>
        <v>924.2</v>
      </c>
      <c r="F83" s="76" t="s">
        <v>424</v>
      </c>
      <c r="G83" s="45"/>
      <c r="H83" s="45"/>
      <c r="I83" s="45"/>
      <c r="J83" s="77" t="s">
        <v>251</v>
      </c>
      <c r="K83" s="629">
        <f>B82</f>
        <v>24177.363500378211</v>
      </c>
      <c r="L83" s="726"/>
    </row>
    <row r="84" spans="1:12" x14ac:dyDescent="0.2">
      <c r="A84" s="736"/>
      <c r="B84" s="735">
        <f>D104</f>
        <v>924.40000000000009</v>
      </c>
      <c r="C84" s="45"/>
      <c r="D84" s="45"/>
      <c r="E84" s="737"/>
      <c r="F84" s="45"/>
      <c r="G84" s="45"/>
      <c r="H84" s="45"/>
      <c r="I84" s="45"/>
      <c r="J84" s="77" t="s">
        <v>259</v>
      </c>
      <c r="K84" s="629">
        <f>I82*-1</f>
        <v>-117.9900684753956</v>
      </c>
      <c r="L84" s="726"/>
    </row>
    <row r="85" spans="1:12" x14ac:dyDescent="0.2">
      <c r="A85" s="736"/>
      <c r="B85" s="45"/>
      <c r="C85" s="45"/>
      <c r="D85" s="45"/>
      <c r="E85" s="45"/>
      <c r="F85" s="45"/>
      <c r="G85" s="45"/>
      <c r="H85" s="45"/>
      <c r="I85" s="45"/>
      <c r="J85" s="77" t="s">
        <v>260</v>
      </c>
      <c r="K85" s="634">
        <f>K83+K84</f>
        <v>24059.373431902815</v>
      </c>
      <c r="L85" s="726"/>
    </row>
    <row r="86" spans="1:12" x14ac:dyDescent="0.2">
      <c r="A86" s="736" t="s">
        <v>377</v>
      </c>
      <c r="B86" s="45"/>
      <c r="C86" s="45"/>
      <c r="D86" s="45"/>
      <c r="E86" s="45"/>
      <c r="F86" s="45"/>
      <c r="G86" s="45"/>
      <c r="H86" s="45"/>
      <c r="I86" s="45"/>
      <c r="J86" s="77" t="s">
        <v>262</v>
      </c>
      <c r="K86" s="635">
        <f>I82/B82</f>
        <v>4.8801875553366215E-3</v>
      </c>
      <c r="L86" s="726"/>
    </row>
    <row r="87" spans="1:12" x14ac:dyDescent="0.2">
      <c r="A87" s="738" t="s">
        <v>263</v>
      </c>
      <c r="B87" s="45"/>
      <c r="C87" s="45"/>
      <c r="D87" s="45"/>
      <c r="E87" s="45"/>
      <c r="F87" s="45"/>
      <c r="G87" s="45"/>
      <c r="H87" s="45"/>
      <c r="I87" s="45"/>
      <c r="J87" s="45"/>
      <c r="L87" s="726"/>
    </row>
    <row r="88" spans="1:12" x14ac:dyDescent="0.2">
      <c r="A88" s="700"/>
      <c r="B88" s="822" t="s">
        <v>265</v>
      </c>
      <c r="C88" s="823"/>
      <c r="D88" s="822" t="s">
        <v>266</v>
      </c>
      <c r="E88" s="823"/>
      <c r="F88" s="45"/>
      <c r="G88" s="45"/>
      <c r="H88" s="45"/>
      <c r="I88" s="45"/>
      <c r="J88" s="45"/>
      <c r="K88" s="45"/>
      <c r="L88" s="726"/>
    </row>
    <row r="89" spans="1:12" ht="48" x14ac:dyDescent="0.2">
      <c r="A89" s="701"/>
      <c r="B89" s="702" t="s">
        <v>268</v>
      </c>
      <c r="C89" s="702" t="s">
        <v>269</v>
      </c>
      <c r="D89" s="702" t="s">
        <v>270</v>
      </c>
      <c r="E89" s="702" t="s">
        <v>269</v>
      </c>
      <c r="F89" s="703" t="s">
        <v>271</v>
      </c>
      <c r="G89" s="703" t="s">
        <v>272</v>
      </c>
      <c r="H89" s="703" t="s">
        <v>273</v>
      </c>
      <c r="I89" s="702" t="s">
        <v>274</v>
      </c>
      <c r="J89" s="702" t="s">
        <v>275</v>
      </c>
      <c r="K89" s="45"/>
      <c r="L89" s="726"/>
    </row>
    <row r="90" spans="1:12" x14ac:dyDescent="0.2">
      <c r="A90" s="704"/>
      <c r="B90" s="705" t="s">
        <v>130</v>
      </c>
      <c r="C90" s="706" t="s">
        <v>277</v>
      </c>
      <c r="D90" s="705" t="s">
        <v>130</v>
      </c>
      <c r="E90" s="706" t="s">
        <v>277</v>
      </c>
      <c r="F90" s="707" t="s">
        <v>112</v>
      </c>
      <c r="G90" s="707" t="s">
        <v>112</v>
      </c>
      <c r="H90" s="707" t="s">
        <v>112</v>
      </c>
      <c r="I90" s="707"/>
      <c r="J90" s="739"/>
      <c r="K90" s="45"/>
      <c r="L90" s="726"/>
    </row>
    <row r="91" spans="1:12" x14ac:dyDescent="0.2">
      <c r="A91" s="708" t="s">
        <v>245</v>
      </c>
      <c r="B91" s="709">
        <f>B79</f>
        <v>674.58929999999998</v>
      </c>
      <c r="C91" s="710">
        <f>C79</f>
        <v>575</v>
      </c>
      <c r="D91" s="709">
        <f>B78</f>
        <v>21147</v>
      </c>
      <c r="E91" s="710">
        <f>C78</f>
        <v>965</v>
      </c>
      <c r="F91" s="711">
        <f>IFERROR(B91/(B91+D91)*100,"")</f>
        <v>3.0913848241108632</v>
      </c>
      <c r="G91" s="711">
        <f>IFERROR(D91/(B91+D91)*100,"")</f>
        <v>96.908615175889139</v>
      </c>
      <c r="H91" s="740">
        <f>F91+G91</f>
        <v>100</v>
      </c>
      <c r="I91" s="741">
        <f>IFERROR(1/C91,"")</f>
        <v>1.7391304347826088E-3</v>
      </c>
      <c r="J91" s="742">
        <f>IFERROR(1/E91,"")</f>
        <v>1.0362694300518134E-3</v>
      </c>
      <c r="K91" s="45"/>
      <c r="L91" s="726"/>
    </row>
    <row r="92" spans="1:12" x14ac:dyDescent="0.2">
      <c r="A92" s="708" t="s">
        <v>248</v>
      </c>
      <c r="B92" s="709">
        <f>B80</f>
        <v>2355.7742003782128</v>
      </c>
      <c r="C92" s="710">
        <f>C80</f>
        <v>660</v>
      </c>
      <c r="D92" s="709">
        <f>K79</f>
        <v>21771.874594915829</v>
      </c>
      <c r="E92" s="710">
        <f>E91</f>
        <v>965</v>
      </c>
      <c r="F92" s="711">
        <f>IFERROR(B92/(B92+D92)*100,"")</f>
        <v>9.7637951396146523</v>
      </c>
      <c r="G92" s="711">
        <f>IFERROR(D92/(B92+D92)*100,"")</f>
        <v>90.236204860385357</v>
      </c>
      <c r="H92" s="740">
        <f t="shared" ref="H92:H93" si="7">F92+G92</f>
        <v>100.00000000000001</v>
      </c>
      <c r="I92" s="741">
        <f>IFERROR(1/C92,"")</f>
        <v>1.5151515151515152E-3</v>
      </c>
      <c r="J92" s="742">
        <f>IFERROR(1/E92,"")</f>
        <v>1.0362694300518134E-3</v>
      </c>
      <c r="K92" s="45"/>
      <c r="L92" s="726"/>
    </row>
    <row r="93" spans="1:12" x14ac:dyDescent="0.2">
      <c r="A93" s="712" t="s">
        <v>280</v>
      </c>
      <c r="B93" s="713">
        <f>K80</f>
        <v>24059.373431902815</v>
      </c>
      <c r="C93" s="714">
        <f>E92</f>
        <v>965</v>
      </c>
      <c r="D93" s="713">
        <f>B81</f>
        <v>0</v>
      </c>
      <c r="E93" s="714">
        <f>C81</f>
        <v>0</v>
      </c>
      <c r="F93" s="711">
        <f>IFERROR(B93/(B93+D93)*100,"")</f>
        <v>100</v>
      </c>
      <c r="G93" s="711">
        <f>IFERROR(D93/(B93+D93)*100,"")</f>
        <v>0</v>
      </c>
      <c r="H93" s="740">
        <f t="shared" si="7"/>
        <v>100</v>
      </c>
      <c r="I93" s="741">
        <f>IFERROR(1/C93,"")</f>
        <v>1.0362694300518134E-3</v>
      </c>
      <c r="J93" s="742" t="str">
        <f>IFERROR(1/E93,"")</f>
        <v/>
      </c>
      <c r="K93" s="45"/>
      <c r="L93" s="726"/>
    </row>
    <row r="94" spans="1:12" x14ac:dyDescent="0.2">
      <c r="A94" s="715" t="s">
        <v>282</v>
      </c>
      <c r="B94" s="45" t="s">
        <v>283</v>
      </c>
      <c r="C94" s="45"/>
      <c r="D94" s="45"/>
      <c r="E94" s="45"/>
      <c r="F94" s="45"/>
      <c r="G94" s="45"/>
      <c r="H94" s="45"/>
      <c r="I94" s="45"/>
      <c r="J94" s="674"/>
      <c r="K94" s="45"/>
      <c r="L94" s="726"/>
    </row>
    <row r="95" spans="1:12" x14ac:dyDescent="0.2">
      <c r="A95" s="715" t="s">
        <v>284</v>
      </c>
      <c r="B95" s="45" t="s">
        <v>285</v>
      </c>
      <c r="C95" s="45"/>
      <c r="D95" s="45"/>
      <c r="E95" s="45"/>
      <c r="F95" s="45"/>
      <c r="G95" s="45"/>
      <c r="H95" s="45"/>
      <c r="I95" s="45"/>
      <c r="J95" s="674"/>
      <c r="K95" s="45"/>
      <c r="L95" s="726"/>
    </row>
    <row r="96" spans="1:12" x14ac:dyDescent="0.2">
      <c r="A96" s="715" t="s">
        <v>287</v>
      </c>
      <c r="B96" s="45" t="s">
        <v>288</v>
      </c>
      <c r="C96" s="45"/>
      <c r="D96" s="45"/>
      <c r="E96" s="45"/>
      <c r="F96" s="45"/>
      <c r="G96" s="45"/>
      <c r="H96" s="45"/>
      <c r="I96" s="45"/>
      <c r="J96" s="674"/>
      <c r="K96" s="45"/>
      <c r="L96" s="726"/>
    </row>
    <row r="97" spans="1:17" x14ac:dyDescent="0.2">
      <c r="A97" s="716" t="s">
        <v>290</v>
      </c>
      <c r="B97" s="717" t="s">
        <v>291</v>
      </c>
      <c r="C97" s="717"/>
      <c r="D97" s="717"/>
      <c r="E97" s="717"/>
      <c r="F97" s="717"/>
      <c r="G97" s="717"/>
      <c r="H97" s="717"/>
      <c r="I97" s="717"/>
      <c r="J97" s="743"/>
      <c r="K97" s="717"/>
      <c r="L97" s="744"/>
      <c r="Q97" s="366"/>
    </row>
    <row r="98" spans="1:17" x14ac:dyDescent="0.2">
      <c r="A98" s="533"/>
      <c r="L98" s="534"/>
    </row>
    <row r="99" spans="1:17" ht="23.25" x14ac:dyDescent="0.35">
      <c r="A99" s="535" t="s">
        <v>374</v>
      </c>
      <c r="L99" s="534"/>
    </row>
    <row r="100" spans="1:17" x14ac:dyDescent="0.2">
      <c r="A100" s="533"/>
      <c r="B100" s="537"/>
      <c r="C100" s="538" t="s">
        <v>130</v>
      </c>
      <c r="D100" s="538" t="s">
        <v>277</v>
      </c>
      <c r="E100" s="539" t="s">
        <v>293</v>
      </c>
      <c r="F100" s="539" t="s">
        <v>235</v>
      </c>
      <c r="G100" s="400"/>
      <c r="H100" s="400"/>
      <c r="I100" s="400"/>
      <c r="L100" s="534"/>
    </row>
    <row r="101" spans="1:17" ht="18" x14ac:dyDescent="0.25">
      <c r="A101" s="541"/>
      <c r="B101" s="542" t="s">
        <v>294</v>
      </c>
      <c r="C101" s="543">
        <f>$B$78</f>
        <v>21147</v>
      </c>
      <c r="D101" s="543">
        <f>$C$78</f>
        <v>965</v>
      </c>
      <c r="E101" s="592"/>
      <c r="F101" s="592">
        <f>C101/C104</f>
        <v>0.87466112670511797</v>
      </c>
      <c r="G101" s="400"/>
      <c r="H101" s="400"/>
      <c r="I101" s="400"/>
      <c r="L101" s="534"/>
    </row>
    <row r="102" spans="1:17" ht="18" x14ac:dyDescent="0.25">
      <c r="A102" s="546"/>
      <c r="B102" s="542" t="s">
        <v>189</v>
      </c>
      <c r="C102" s="543">
        <f>$B$80</f>
        <v>2355.7742003782128</v>
      </c>
      <c r="D102" s="551">
        <f>$C$80</f>
        <v>660</v>
      </c>
      <c r="E102" s="592">
        <f>C102/C101</f>
        <v>0.11139992435703469</v>
      </c>
      <c r="F102" s="592">
        <f>C102/C104</f>
        <v>9.7437183352988885E-2</v>
      </c>
      <c r="G102" s="400"/>
      <c r="H102" s="536"/>
      <c r="I102" s="400"/>
      <c r="L102" s="534"/>
    </row>
    <row r="103" spans="1:17" ht="18" x14ac:dyDescent="0.25">
      <c r="A103" s="550"/>
      <c r="B103" s="542" t="s">
        <v>295</v>
      </c>
      <c r="C103" s="543">
        <f>$B$79</f>
        <v>674.58929999999998</v>
      </c>
      <c r="D103" s="551">
        <f>C79</f>
        <v>575</v>
      </c>
      <c r="E103" s="592">
        <f>C103/C101</f>
        <v>3.1899999999999998E-2</v>
      </c>
      <c r="F103" s="592">
        <f>C103/C104</f>
        <v>2.7901689941893262E-2</v>
      </c>
      <c r="G103" s="400"/>
      <c r="H103" s="536"/>
      <c r="I103" s="400"/>
      <c r="L103" s="534"/>
    </row>
    <row r="104" spans="1:17" ht="18" x14ac:dyDescent="0.25">
      <c r="A104" s="550"/>
      <c r="B104" s="542" t="s">
        <v>296</v>
      </c>
      <c r="C104" s="552">
        <f>SUM(C101:C103)</f>
        <v>24177.363500378211</v>
      </c>
      <c r="D104" s="688">
        <f>SUMPRODUCT(C101:C103,D101:D103)/SUM(C101:C103)</f>
        <v>924.40000000000009</v>
      </c>
      <c r="E104" s="592"/>
      <c r="F104" s="592">
        <f>SUM(F101:F103)</f>
        <v>1.0000000000000002</v>
      </c>
      <c r="G104" s="400"/>
      <c r="H104" s="536"/>
      <c r="I104" s="400"/>
      <c r="L104" s="534"/>
    </row>
    <row r="105" spans="1:17" ht="18" x14ac:dyDescent="0.25">
      <c r="A105" s="550"/>
      <c r="B105" s="542" t="s">
        <v>297</v>
      </c>
      <c r="C105" s="554">
        <f>I82</f>
        <v>117.9900684753956</v>
      </c>
      <c r="D105" s="555"/>
      <c r="E105" s="400"/>
      <c r="F105" s="400"/>
      <c r="G105" s="400"/>
      <c r="H105" s="400"/>
      <c r="I105" s="400"/>
      <c r="L105" s="534"/>
    </row>
    <row r="106" spans="1:17" ht="18" x14ac:dyDescent="0.25">
      <c r="A106" s="550"/>
      <c r="B106" s="542" t="s">
        <v>298</v>
      </c>
      <c r="C106" s="552">
        <f>C104-C105</f>
        <v>24059.373431902815</v>
      </c>
      <c r="D106" s="555"/>
      <c r="E106" s="400"/>
      <c r="F106" s="400"/>
      <c r="G106" s="400"/>
      <c r="H106" s="400"/>
      <c r="I106" s="400"/>
      <c r="L106" s="534"/>
    </row>
    <row r="107" spans="1:17" x14ac:dyDescent="0.2">
      <c r="A107" s="550"/>
      <c r="B107" s="400"/>
      <c r="C107" s="570"/>
      <c r="D107" s="400"/>
      <c r="E107" s="400"/>
      <c r="F107" s="400"/>
      <c r="G107" s="400"/>
      <c r="H107" s="400"/>
      <c r="I107" s="400"/>
      <c r="L107" s="534"/>
    </row>
    <row r="108" spans="1:17" x14ac:dyDescent="0.2">
      <c r="A108" s="550"/>
      <c r="B108" s="400"/>
      <c r="C108" s="539" t="s">
        <v>130</v>
      </c>
      <c r="D108" s="539" t="s">
        <v>299</v>
      </c>
      <c r="E108" s="539" t="s">
        <v>300</v>
      </c>
      <c r="F108" s="400"/>
      <c r="G108" s="400"/>
      <c r="H108" s="400"/>
      <c r="I108" s="400"/>
      <c r="L108" s="534"/>
    </row>
    <row r="109" spans="1:17" x14ac:dyDescent="0.2">
      <c r="A109" s="550"/>
      <c r="B109" s="398" t="s">
        <v>301</v>
      </c>
      <c r="C109" s="557">
        <f>C106</f>
        <v>24059.373431902815</v>
      </c>
      <c r="D109" s="560">
        <f>E8</f>
        <v>565.73895526375509</v>
      </c>
      <c r="E109" s="560">
        <f>C109*D109</f>
        <v>13611324.789665245</v>
      </c>
      <c r="F109" s="400"/>
      <c r="H109" s="400"/>
      <c r="I109" s="400"/>
      <c r="L109" s="534"/>
    </row>
    <row r="110" spans="1:17" x14ac:dyDescent="0.2">
      <c r="A110" s="533"/>
      <c r="B110" s="398" t="s">
        <v>302</v>
      </c>
      <c r="C110" s="557">
        <f>C102</f>
        <v>2355.7742003782128</v>
      </c>
      <c r="D110" s="560">
        <f>I15*-1</f>
        <v>-658.30766645899507</v>
      </c>
      <c r="E110" s="560">
        <f>C110*D110</f>
        <v>-1550824.2165552862</v>
      </c>
      <c r="F110" s="400"/>
      <c r="G110" s="400"/>
      <c r="H110" s="400"/>
      <c r="I110" s="400"/>
      <c r="L110" s="534"/>
    </row>
    <row r="111" spans="1:17" x14ac:dyDescent="0.2">
      <c r="A111" s="533"/>
      <c r="B111" s="398" t="s">
        <v>303</v>
      </c>
      <c r="C111" s="557">
        <f>C103</f>
        <v>674.58929999999998</v>
      </c>
      <c r="D111" s="560">
        <f>E10*-1</f>
        <v>-321.23883223421927</v>
      </c>
      <c r="E111" s="560">
        <f>C111*D111</f>
        <v>-216704.2789696994</v>
      </c>
      <c r="F111" s="400"/>
      <c r="G111" s="400"/>
      <c r="H111" s="400"/>
      <c r="I111" s="400"/>
      <c r="L111" s="534"/>
    </row>
    <row r="112" spans="1:17" x14ac:dyDescent="0.2">
      <c r="A112" s="533"/>
      <c r="B112" s="398" t="s">
        <v>304</v>
      </c>
      <c r="C112" s="557">
        <f>C110</f>
        <v>2355.7742003782128</v>
      </c>
      <c r="D112" s="560">
        <f>$D$57</f>
        <v>-38.189655172413794</v>
      </c>
      <c r="E112" s="560">
        <f t="shared" ref="E112:E116" si="8">C112*D112</f>
        <v>-89966.204376512775</v>
      </c>
      <c r="F112" s="400"/>
      <c r="G112" s="400"/>
      <c r="H112" s="400"/>
      <c r="I112" s="400"/>
      <c r="L112" s="534"/>
    </row>
    <row r="113" spans="1:12" x14ac:dyDescent="0.2">
      <c r="A113" s="533"/>
      <c r="B113" s="398" t="s">
        <v>305</v>
      </c>
      <c r="C113" s="557">
        <f>C104</f>
        <v>24177.363500378211</v>
      </c>
      <c r="D113" s="560">
        <f>$D$58</f>
        <v>-24.147900000000003</v>
      </c>
      <c r="E113" s="560">
        <f t="shared" si="8"/>
        <v>-583832.55607078306</v>
      </c>
      <c r="F113" s="400"/>
      <c r="G113" s="400"/>
      <c r="H113" s="400"/>
      <c r="I113" s="398" t="s">
        <v>306</v>
      </c>
      <c r="J113" s="560">
        <f>E109</f>
        <v>13611324.789665245</v>
      </c>
      <c r="K113" s="689">
        <f>J113/$C$46</f>
        <v>643.6527540391188</v>
      </c>
      <c r="L113" s="534"/>
    </row>
    <row r="114" spans="1:12" x14ac:dyDescent="0.2">
      <c r="A114" s="533"/>
      <c r="B114" s="398" t="s">
        <v>307</v>
      </c>
      <c r="C114" s="557">
        <f>C104*Inputs!C26</f>
        <v>48.354727000756426</v>
      </c>
      <c r="D114" s="560">
        <f>-D109</f>
        <v>-565.73895526375509</v>
      </c>
      <c r="E114" s="560">
        <f t="shared" si="8"/>
        <v>-27356.152735472031</v>
      </c>
      <c r="F114" s="603">
        <f>E114/C106</f>
        <v>-1.1370268146383926</v>
      </c>
      <c r="G114" s="400" t="s">
        <v>417</v>
      </c>
      <c r="H114" s="400"/>
      <c r="I114" s="398" t="s">
        <v>308</v>
      </c>
      <c r="J114" s="560">
        <f>E110+E111</f>
        <v>-1767528.4955249857</v>
      </c>
      <c r="K114" s="689">
        <f t="shared" ref="K114:K116" si="9">J114/$C$46</f>
        <v>-83.582942995459675</v>
      </c>
      <c r="L114" s="534"/>
    </row>
    <row r="115" spans="1:12" x14ac:dyDescent="0.2">
      <c r="A115" s="533"/>
      <c r="B115" s="398" t="s">
        <v>309</v>
      </c>
      <c r="C115" s="557">
        <v>0</v>
      </c>
      <c r="D115" s="560">
        <v>0</v>
      </c>
      <c r="E115" s="560">
        <f t="shared" si="8"/>
        <v>0</v>
      </c>
      <c r="F115" s="400"/>
      <c r="G115" s="400"/>
      <c r="H115" s="400"/>
      <c r="I115" s="398" t="s">
        <v>310</v>
      </c>
      <c r="J115" s="560">
        <f>E112</f>
        <v>-89966.204376512775</v>
      </c>
      <c r="K115" s="689">
        <f t="shared" si="9"/>
        <v>-4.2543246974281352</v>
      </c>
      <c r="L115" s="534"/>
    </row>
    <row r="116" spans="1:12" x14ac:dyDescent="0.2">
      <c r="A116" s="533"/>
      <c r="B116" s="398" t="s">
        <v>307</v>
      </c>
      <c r="C116" s="557">
        <v>0</v>
      </c>
      <c r="D116" s="560">
        <v>0</v>
      </c>
      <c r="E116" s="560">
        <f t="shared" si="8"/>
        <v>0</v>
      </c>
      <c r="F116" s="400"/>
      <c r="G116" s="400"/>
      <c r="H116" s="400"/>
      <c r="I116" s="398" t="s">
        <v>311</v>
      </c>
      <c r="J116" s="560">
        <f>E113+E114+E115+E116</f>
        <v>-611188.70880625513</v>
      </c>
      <c r="K116" s="689">
        <f t="shared" si="9"/>
        <v>-28.901910852899</v>
      </c>
      <c r="L116" s="534"/>
    </row>
    <row r="117" spans="1:12" ht="18.75" thickBot="1" x14ac:dyDescent="0.3">
      <c r="A117" s="694"/>
      <c r="C117" s="745"/>
      <c r="D117" s="593" t="s">
        <v>312</v>
      </c>
      <c r="E117" s="594">
        <f>SUM(E109:E116)</f>
        <v>11142641.380957492</v>
      </c>
      <c r="F117" s="400"/>
      <c r="G117" s="400"/>
      <c r="I117" s="398"/>
      <c r="J117" s="690">
        <f>SUM(J113:J116)</f>
        <v>11142641.38095749</v>
      </c>
      <c r="K117" s="401">
        <f>SUM(K113:K116)</f>
        <v>526.9135754933319</v>
      </c>
      <c r="L117" s="534"/>
    </row>
    <row r="118" spans="1:12" ht="13.5" thickTop="1" x14ac:dyDescent="0.2">
      <c r="A118" s="696"/>
      <c r="C118" s="697"/>
      <c r="D118" s="398" t="s">
        <v>313</v>
      </c>
      <c r="E118" s="570">
        <f>C101</f>
        <v>21147</v>
      </c>
      <c r="F118" s="537" t="s">
        <v>130</v>
      </c>
      <c r="H118" s="400"/>
      <c r="K118" s="572">
        <f>E119</f>
        <v>526.91357549333202</v>
      </c>
      <c r="L118" s="534"/>
    </row>
    <row r="119" spans="1:12" ht="18" x14ac:dyDescent="0.25">
      <c r="A119" s="698"/>
      <c r="B119" s="574"/>
      <c r="C119" s="574"/>
      <c r="D119" s="398" t="s">
        <v>314</v>
      </c>
      <c r="E119" s="691">
        <f>E117/E118</f>
        <v>526.91357549333202</v>
      </c>
      <c r="F119" s="537" t="s">
        <v>315</v>
      </c>
      <c r="G119" s="595"/>
      <c r="H119" s="574"/>
      <c r="I119" s="574"/>
      <c r="J119" s="574"/>
      <c r="K119" s="577">
        <f>K117-K118</f>
        <v>0</v>
      </c>
      <c r="L119" s="578" t="s">
        <v>316</v>
      </c>
    </row>
    <row r="120" spans="1:12" x14ac:dyDescent="0.2">
      <c r="A120" s="698"/>
      <c r="B120" s="697"/>
      <c r="D120" s="398"/>
      <c r="E120" s="692">
        <f>E119/6.29287</f>
        <v>83.731838651256425</v>
      </c>
      <c r="F120" s="400" t="s">
        <v>317</v>
      </c>
      <c r="L120" s="534"/>
    </row>
    <row r="121" spans="1:12" x14ac:dyDescent="0.2">
      <c r="A121" s="698"/>
      <c r="B121" s="697"/>
      <c r="D121" s="693"/>
      <c r="E121" s="692">
        <f>E120/B7</f>
        <v>61.254499909474681</v>
      </c>
      <c r="F121" s="400" t="s">
        <v>318</v>
      </c>
      <c r="L121" s="534"/>
    </row>
    <row r="122" spans="1:12" x14ac:dyDescent="0.2">
      <c r="A122" s="698"/>
      <c r="B122" s="697"/>
      <c r="D122" s="693" t="s">
        <v>319</v>
      </c>
      <c r="E122" s="560">
        <f>E121-B6</f>
        <v>-17.365500090525323</v>
      </c>
      <c r="F122" s="400" t="s">
        <v>318</v>
      </c>
      <c r="L122" s="534"/>
    </row>
    <row r="123" spans="1:12" x14ac:dyDescent="0.2">
      <c r="A123" s="698"/>
      <c r="B123" s="697"/>
      <c r="C123" s="574"/>
      <c r="D123" s="693" t="s">
        <v>320</v>
      </c>
      <c r="E123" s="560">
        <f>E122-B8</f>
        <v>-4.5455000905253229</v>
      </c>
      <c r="F123" s="400" t="s">
        <v>318</v>
      </c>
      <c r="L123" s="534"/>
    </row>
    <row r="124" spans="1:12" x14ac:dyDescent="0.2">
      <c r="A124" s="698"/>
      <c r="B124" s="697"/>
      <c r="C124" s="574"/>
      <c r="D124" s="693" t="s">
        <v>331</v>
      </c>
      <c r="E124" s="901">
        <f>E119-(D109+D113+(C114/C109)*D114)</f>
        <v>-13.540452955784644</v>
      </c>
      <c r="F124" s="537" t="s">
        <v>315</v>
      </c>
      <c r="L124" s="534"/>
    </row>
    <row r="125" spans="1:12" x14ac:dyDescent="0.2">
      <c r="A125" s="698"/>
      <c r="B125" s="697"/>
      <c r="C125" s="574"/>
      <c r="D125" s="693" t="s">
        <v>331</v>
      </c>
      <c r="E125" s="901">
        <f>((($C$110+$C$111-$C$105-$C$114)*$D$109)-(($C$110*I$15)+($C$111*E$10)))/$C$101</f>
        <v>-6.9627628296137134</v>
      </c>
      <c r="F125" s="537" t="s">
        <v>315</v>
      </c>
      <c r="G125" s="364" t="s">
        <v>411</v>
      </c>
      <c r="L125" s="534"/>
    </row>
    <row r="126" spans="1:12" x14ac:dyDescent="0.2">
      <c r="A126" s="698"/>
      <c r="B126" s="697"/>
      <c r="C126" s="574"/>
      <c r="D126" s="398" t="s">
        <v>416</v>
      </c>
      <c r="E126" s="754">
        <f>(E110+E111+E112)/C106</f>
        <v>-77.204616535792809</v>
      </c>
      <c r="F126" s="537" t="s">
        <v>315</v>
      </c>
      <c r="G126" s="364" t="s">
        <v>501</v>
      </c>
      <c r="L126" s="534"/>
    </row>
    <row r="127" spans="1:12" ht="13.5" thickBot="1" x14ac:dyDescent="0.25">
      <c r="A127" s="596"/>
      <c r="B127" s="586"/>
      <c r="C127" s="586"/>
      <c r="D127" s="604" t="s">
        <v>336</v>
      </c>
      <c r="E127" s="902">
        <f>(E124*C101)/C106</f>
        <v>-11.901388848152216</v>
      </c>
      <c r="F127" s="761" t="s">
        <v>315</v>
      </c>
      <c r="G127" s="586"/>
      <c r="H127" s="586"/>
      <c r="I127" s="586"/>
      <c r="J127" s="586"/>
      <c r="K127" s="586"/>
      <c r="L127" s="587"/>
    </row>
    <row r="128" spans="1:12" ht="13.5" thickTop="1" x14ac:dyDescent="0.2"/>
    <row r="129" spans="1:12" ht="23.25" x14ac:dyDescent="0.35">
      <c r="A129" s="597" t="s">
        <v>321</v>
      </c>
      <c r="K129" s="598" t="s">
        <v>299</v>
      </c>
      <c r="L129" s="598" t="s">
        <v>318</v>
      </c>
    </row>
    <row r="130" spans="1:12" ht="18.75" thickBot="1" x14ac:dyDescent="0.3">
      <c r="D130" s="398" t="s">
        <v>322</v>
      </c>
      <c r="E130" s="612">
        <f>E117-E62</f>
        <v>271755.57840854488</v>
      </c>
      <c r="H130" s="398" t="s">
        <v>306</v>
      </c>
      <c r="I130" s="746">
        <f>J113-J58</f>
        <v>-137920.57477268763</v>
      </c>
      <c r="J130" s="599" t="s">
        <v>323</v>
      </c>
      <c r="K130" s="747">
        <f>I130/E131</f>
        <v>-6.5219924704538528</v>
      </c>
      <c r="L130" s="747">
        <f>K130/6.29287/$B$7</f>
        <v>-0.75819148674803061</v>
      </c>
    </row>
    <row r="131" spans="1:12" ht="18.75" thickTop="1" x14ac:dyDescent="0.25">
      <c r="D131" s="398" t="s">
        <v>313</v>
      </c>
      <c r="E131" s="600">
        <f>E118</f>
        <v>21147</v>
      </c>
      <c r="F131" s="537" t="s">
        <v>130</v>
      </c>
      <c r="H131" s="398" t="s">
        <v>308</v>
      </c>
      <c r="I131" s="746">
        <f>J114-J59</f>
        <v>370149.37224316923</v>
      </c>
      <c r="J131" s="599" t="s">
        <v>324</v>
      </c>
      <c r="K131" s="747">
        <f>I131/E131</f>
        <v>17.503635137048718</v>
      </c>
      <c r="L131" s="747">
        <f t="shared" ref="L131:L133" si="10">K131/6.29287/$B$7</f>
        <v>2.034824052339105</v>
      </c>
    </row>
    <row r="132" spans="1:12" ht="18" x14ac:dyDescent="0.25">
      <c r="D132" s="398" t="s">
        <v>314</v>
      </c>
      <c r="E132" s="601">
        <f>E130/E131</f>
        <v>12.850786324705391</v>
      </c>
      <c r="F132" s="537" t="s">
        <v>315</v>
      </c>
      <c r="H132" s="398" t="s">
        <v>310</v>
      </c>
      <c r="I132" s="746">
        <f>J115-J60</f>
        <v>34044.47451910004</v>
      </c>
      <c r="J132" s="599" t="s">
        <v>324</v>
      </c>
      <c r="K132" s="747">
        <f>I132/E131</f>
        <v>1.6098961800302662</v>
      </c>
      <c r="L132" s="747">
        <f t="shared" si="10"/>
        <v>0.18715286529028805</v>
      </c>
    </row>
    <row r="133" spans="1:12" ht="18" x14ac:dyDescent="0.25">
      <c r="E133" s="748">
        <f>E132/6.29287</f>
        <v>2.0421185126508878</v>
      </c>
      <c r="F133" s="400" t="s">
        <v>317</v>
      </c>
      <c r="H133" s="398" t="s">
        <v>311</v>
      </c>
      <c r="I133" s="746">
        <f>J116-J61</f>
        <v>5482.3064189612633</v>
      </c>
      <c r="J133" s="599" t="s">
        <v>324</v>
      </c>
      <c r="K133" s="747">
        <f>I133/E131</f>
        <v>0.25924747808016568</v>
      </c>
      <c r="L133" s="747">
        <f t="shared" si="10"/>
        <v>3.0137911341010817E-2</v>
      </c>
    </row>
    <row r="134" spans="1:12" ht="18.75" thickBot="1" x14ac:dyDescent="0.3">
      <c r="E134" s="601">
        <f>E133/B7</f>
        <v>1.4939233422223839</v>
      </c>
      <c r="F134" s="400" t="s">
        <v>318</v>
      </c>
      <c r="H134" s="398" t="s">
        <v>325</v>
      </c>
      <c r="I134" s="567">
        <f>SUM(I130:I133)</f>
        <v>271755.5784085429</v>
      </c>
      <c r="J134" s="599" t="s">
        <v>324</v>
      </c>
      <c r="K134" s="601">
        <f>SUM(K130:K133)</f>
        <v>12.850786324705297</v>
      </c>
      <c r="L134" s="601">
        <f>SUM(L130:L133)</f>
        <v>1.4939233422223732</v>
      </c>
    </row>
    <row r="135" spans="1:12" ht="13.5" thickTop="1" x14ac:dyDescent="0.2">
      <c r="D135" s="398" t="s">
        <v>333</v>
      </c>
      <c r="E135" s="570">
        <f>C106</f>
        <v>24059.373431902815</v>
      </c>
      <c r="F135" s="537" t="s">
        <v>130</v>
      </c>
    </row>
    <row r="136" spans="1:12" x14ac:dyDescent="0.2">
      <c r="D136" s="398" t="s">
        <v>334</v>
      </c>
      <c r="E136" s="749">
        <f>E130/E135</f>
        <v>11.295205969420469</v>
      </c>
      <c r="F136" s="400"/>
    </row>
  </sheetData>
  <protectedRanges>
    <protectedRange sqref="B22:C25 B78:C81" name="Range3_1_1"/>
  </protectedRanges>
  <dataConsolidate link="1"/>
  <mergeCells count="4">
    <mergeCell ref="B33:C33"/>
    <mergeCell ref="D33:E33"/>
    <mergeCell ref="B88:C88"/>
    <mergeCell ref="D88:E88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5301-8BB3-468A-9D04-D5FA1EAF563C}">
  <dimension ref="A1:S71"/>
  <sheetViews>
    <sheetView topLeftCell="A38" workbookViewId="0">
      <selection activeCell="E60" sqref="E60"/>
    </sheetView>
  </sheetViews>
  <sheetFormatPr defaultRowHeight="15" x14ac:dyDescent="0.2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3.85546875" bestFit="1" customWidth="1"/>
    <col min="11" max="11" width="14.42578125" customWidth="1"/>
    <col min="12" max="12" width="14.140625" customWidth="1"/>
    <col min="14" max="14" width="19.85546875" bestFit="1" customWidth="1"/>
    <col min="15" max="18" width="12.85546875" bestFit="1" customWidth="1"/>
    <col min="256" max="256" width="36.7109375" customWidth="1"/>
    <col min="257" max="257" width="15.42578125" customWidth="1"/>
    <col min="259" max="259" width="16.7109375" customWidth="1"/>
    <col min="260" max="260" width="22.5703125" customWidth="1"/>
    <col min="261" max="261" width="17.5703125" customWidth="1"/>
    <col min="263" max="263" width="10.140625" bestFit="1" customWidth="1"/>
    <col min="271" max="274" width="12.85546875" bestFit="1" customWidth="1"/>
    <col min="512" max="512" width="36.7109375" customWidth="1"/>
    <col min="513" max="513" width="15.42578125" customWidth="1"/>
    <col min="515" max="515" width="16.7109375" customWidth="1"/>
    <col min="516" max="516" width="22.5703125" customWidth="1"/>
    <col min="517" max="517" width="17.5703125" customWidth="1"/>
    <col min="519" max="519" width="10.140625" bestFit="1" customWidth="1"/>
    <col min="527" max="530" width="12.85546875" bestFit="1" customWidth="1"/>
    <col min="768" max="768" width="36.7109375" customWidth="1"/>
    <col min="769" max="769" width="15.42578125" customWidth="1"/>
    <col min="771" max="771" width="16.7109375" customWidth="1"/>
    <col min="772" max="772" width="22.5703125" customWidth="1"/>
    <col min="773" max="773" width="17.5703125" customWidth="1"/>
    <col min="775" max="775" width="10.140625" bestFit="1" customWidth="1"/>
    <col min="783" max="786" width="12.85546875" bestFit="1" customWidth="1"/>
    <col min="1024" max="1024" width="36.7109375" customWidth="1"/>
    <col min="1025" max="1025" width="15.42578125" customWidth="1"/>
    <col min="1027" max="1027" width="16.7109375" customWidth="1"/>
    <col min="1028" max="1028" width="22.5703125" customWidth="1"/>
    <col min="1029" max="1029" width="17.5703125" customWidth="1"/>
    <col min="1031" max="1031" width="10.140625" bestFit="1" customWidth="1"/>
    <col min="1039" max="1042" width="12.85546875" bestFit="1" customWidth="1"/>
    <col min="1280" max="1280" width="36.7109375" customWidth="1"/>
    <col min="1281" max="1281" width="15.42578125" customWidth="1"/>
    <col min="1283" max="1283" width="16.7109375" customWidth="1"/>
    <col min="1284" max="1284" width="22.5703125" customWidth="1"/>
    <col min="1285" max="1285" width="17.5703125" customWidth="1"/>
    <col min="1287" max="1287" width="10.140625" bestFit="1" customWidth="1"/>
    <col min="1295" max="1298" width="12.85546875" bestFit="1" customWidth="1"/>
    <col min="1536" max="1536" width="36.7109375" customWidth="1"/>
    <col min="1537" max="1537" width="15.42578125" customWidth="1"/>
    <col min="1539" max="1539" width="16.7109375" customWidth="1"/>
    <col min="1540" max="1540" width="22.5703125" customWidth="1"/>
    <col min="1541" max="1541" width="17.5703125" customWidth="1"/>
    <col min="1543" max="1543" width="10.140625" bestFit="1" customWidth="1"/>
    <col min="1551" max="1554" width="12.85546875" bestFit="1" customWidth="1"/>
    <col min="1792" max="1792" width="36.7109375" customWidth="1"/>
    <col min="1793" max="1793" width="15.42578125" customWidth="1"/>
    <col min="1795" max="1795" width="16.7109375" customWidth="1"/>
    <col min="1796" max="1796" width="22.5703125" customWidth="1"/>
    <col min="1797" max="1797" width="17.5703125" customWidth="1"/>
    <col min="1799" max="1799" width="10.140625" bestFit="1" customWidth="1"/>
    <col min="1807" max="1810" width="12.85546875" bestFit="1" customWidth="1"/>
    <col min="2048" max="2048" width="36.7109375" customWidth="1"/>
    <col min="2049" max="2049" width="15.42578125" customWidth="1"/>
    <col min="2051" max="2051" width="16.7109375" customWidth="1"/>
    <col min="2052" max="2052" width="22.5703125" customWidth="1"/>
    <col min="2053" max="2053" width="17.5703125" customWidth="1"/>
    <col min="2055" max="2055" width="10.140625" bestFit="1" customWidth="1"/>
    <col min="2063" max="2066" width="12.85546875" bestFit="1" customWidth="1"/>
    <col min="2304" max="2304" width="36.7109375" customWidth="1"/>
    <col min="2305" max="2305" width="15.42578125" customWidth="1"/>
    <col min="2307" max="2307" width="16.7109375" customWidth="1"/>
    <col min="2308" max="2308" width="22.5703125" customWidth="1"/>
    <col min="2309" max="2309" width="17.5703125" customWidth="1"/>
    <col min="2311" max="2311" width="10.140625" bestFit="1" customWidth="1"/>
    <col min="2319" max="2322" width="12.85546875" bestFit="1" customWidth="1"/>
    <col min="2560" max="2560" width="36.7109375" customWidth="1"/>
    <col min="2561" max="2561" width="15.42578125" customWidth="1"/>
    <col min="2563" max="2563" width="16.7109375" customWidth="1"/>
    <col min="2564" max="2564" width="22.5703125" customWidth="1"/>
    <col min="2565" max="2565" width="17.5703125" customWidth="1"/>
    <col min="2567" max="2567" width="10.140625" bestFit="1" customWidth="1"/>
    <col min="2575" max="2578" width="12.85546875" bestFit="1" customWidth="1"/>
    <col min="2816" max="2816" width="36.7109375" customWidth="1"/>
    <col min="2817" max="2817" width="15.42578125" customWidth="1"/>
    <col min="2819" max="2819" width="16.7109375" customWidth="1"/>
    <col min="2820" max="2820" width="22.5703125" customWidth="1"/>
    <col min="2821" max="2821" width="17.5703125" customWidth="1"/>
    <col min="2823" max="2823" width="10.140625" bestFit="1" customWidth="1"/>
    <col min="2831" max="2834" width="12.85546875" bestFit="1" customWidth="1"/>
    <col min="3072" max="3072" width="36.7109375" customWidth="1"/>
    <col min="3073" max="3073" width="15.42578125" customWidth="1"/>
    <col min="3075" max="3075" width="16.7109375" customWidth="1"/>
    <col min="3076" max="3076" width="22.5703125" customWidth="1"/>
    <col min="3077" max="3077" width="17.5703125" customWidth="1"/>
    <col min="3079" max="3079" width="10.140625" bestFit="1" customWidth="1"/>
    <col min="3087" max="3090" width="12.85546875" bestFit="1" customWidth="1"/>
    <col min="3328" max="3328" width="36.7109375" customWidth="1"/>
    <col min="3329" max="3329" width="15.42578125" customWidth="1"/>
    <col min="3331" max="3331" width="16.7109375" customWidth="1"/>
    <col min="3332" max="3332" width="22.5703125" customWidth="1"/>
    <col min="3333" max="3333" width="17.5703125" customWidth="1"/>
    <col min="3335" max="3335" width="10.140625" bestFit="1" customWidth="1"/>
    <col min="3343" max="3346" width="12.85546875" bestFit="1" customWidth="1"/>
    <col min="3584" max="3584" width="36.7109375" customWidth="1"/>
    <col min="3585" max="3585" width="15.42578125" customWidth="1"/>
    <col min="3587" max="3587" width="16.7109375" customWidth="1"/>
    <col min="3588" max="3588" width="22.5703125" customWidth="1"/>
    <col min="3589" max="3589" width="17.5703125" customWidth="1"/>
    <col min="3591" max="3591" width="10.140625" bestFit="1" customWidth="1"/>
    <col min="3599" max="3602" width="12.85546875" bestFit="1" customWidth="1"/>
    <col min="3840" max="3840" width="36.7109375" customWidth="1"/>
    <col min="3841" max="3841" width="15.42578125" customWidth="1"/>
    <col min="3843" max="3843" width="16.7109375" customWidth="1"/>
    <col min="3844" max="3844" width="22.5703125" customWidth="1"/>
    <col min="3845" max="3845" width="17.5703125" customWidth="1"/>
    <col min="3847" max="3847" width="10.140625" bestFit="1" customWidth="1"/>
    <col min="3855" max="3858" width="12.85546875" bestFit="1" customWidth="1"/>
    <col min="4096" max="4096" width="36.7109375" customWidth="1"/>
    <col min="4097" max="4097" width="15.42578125" customWidth="1"/>
    <col min="4099" max="4099" width="16.7109375" customWidth="1"/>
    <col min="4100" max="4100" width="22.5703125" customWidth="1"/>
    <col min="4101" max="4101" width="17.5703125" customWidth="1"/>
    <col min="4103" max="4103" width="10.140625" bestFit="1" customWidth="1"/>
    <col min="4111" max="4114" width="12.85546875" bestFit="1" customWidth="1"/>
    <col min="4352" max="4352" width="36.7109375" customWidth="1"/>
    <col min="4353" max="4353" width="15.42578125" customWidth="1"/>
    <col min="4355" max="4355" width="16.7109375" customWidth="1"/>
    <col min="4356" max="4356" width="22.5703125" customWidth="1"/>
    <col min="4357" max="4357" width="17.5703125" customWidth="1"/>
    <col min="4359" max="4359" width="10.140625" bestFit="1" customWidth="1"/>
    <col min="4367" max="4370" width="12.85546875" bestFit="1" customWidth="1"/>
    <col min="4608" max="4608" width="36.7109375" customWidth="1"/>
    <col min="4609" max="4609" width="15.42578125" customWidth="1"/>
    <col min="4611" max="4611" width="16.7109375" customWidth="1"/>
    <col min="4612" max="4612" width="22.5703125" customWidth="1"/>
    <col min="4613" max="4613" width="17.5703125" customWidth="1"/>
    <col min="4615" max="4615" width="10.140625" bestFit="1" customWidth="1"/>
    <col min="4623" max="4626" width="12.85546875" bestFit="1" customWidth="1"/>
    <col min="4864" max="4864" width="36.7109375" customWidth="1"/>
    <col min="4865" max="4865" width="15.42578125" customWidth="1"/>
    <col min="4867" max="4867" width="16.7109375" customWidth="1"/>
    <col min="4868" max="4868" width="22.5703125" customWidth="1"/>
    <col min="4869" max="4869" width="17.5703125" customWidth="1"/>
    <col min="4871" max="4871" width="10.140625" bestFit="1" customWidth="1"/>
    <col min="4879" max="4882" width="12.85546875" bestFit="1" customWidth="1"/>
    <col min="5120" max="5120" width="36.7109375" customWidth="1"/>
    <col min="5121" max="5121" width="15.42578125" customWidth="1"/>
    <col min="5123" max="5123" width="16.7109375" customWidth="1"/>
    <col min="5124" max="5124" width="22.5703125" customWidth="1"/>
    <col min="5125" max="5125" width="17.5703125" customWidth="1"/>
    <col min="5127" max="5127" width="10.140625" bestFit="1" customWidth="1"/>
    <col min="5135" max="5138" width="12.85546875" bestFit="1" customWidth="1"/>
    <col min="5376" max="5376" width="36.7109375" customWidth="1"/>
    <col min="5377" max="5377" width="15.42578125" customWidth="1"/>
    <col min="5379" max="5379" width="16.7109375" customWidth="1"/>
    <col min="5380" max="5380" width="22.5703125" customWidth="1"/>
    <col min="5381" max="5381" width="17.5703125" customWidth="1"/>
    <col min="5383" max="5383" width="10.140625" bestFit="1" customWidth="1"/>
    <col min="5391" max="5394" width="12.85546875" bestFit="1" customWidth="1"/>
    <col min="5632" max="5632" width="36.7109375" customWidth="1"/>
    <col min="5633" max="5633" width="15.42578125" customWidth="1"/>
    <col min="5635" max="5635" width="16.7109375" customWidth="1"/>
    <col min="5636" max="5636" width="22.5703125" customWidth="1"/>
    <col min="5637" max="5637" width="17.5703125" customWidth="1"/>
    <col min="5639" max="5639" width="10.140625" bestFit="1" customWidth="1"/>
    <col min="5647" max="5650" width="12.85546875" bestFit="1" customWidth="1"/>
    <col min="5888" max="5888" width="36.7109375" customWidth="1"/>
    <col min="5889" max="5889" width="15.42578125" customWidth="1"/>
    <col min="5891" max="5891" width="16.7109375" customWidth="1"/>
    <col min="5892" max="5892" width="22.5703125" customWidth="1"/>
    <col min="5893" max="5893" width="17.5703125" customWidth="1"/>
    <col min="5895" max="5895" width="10.140625" bestFit="1" customWidth="1"/>
    <col min="5903" max="5906" width="12.85546875" bestFit="1" customWidth="1"/>
    <col min="6144" max="6144" width="36.7109375" customWidth="1"/>
    <col min="6145" max="6145" width="15.42578125" customWidth="1"/>
    <col min="6147" max="6147" width="16.7109375" customWidth="1"/>
    <col min="6148" max="6148" width="22.5703125" customWidth="1"/>
    <col min="6149" max="6149" width="17.5703125" customWidth="1"/>
    <col min="6151" max="6151" width="10.140625" bestFit="1" customWidth="1"/>
    <col min="6159" max="6162" width="12.85546875" bestFit="1" customWidth="1"/>
    <col min="6400" max="6400" width="36.7109375" customWidth="1"/>
    <col min="6401" max="6401" width="15.42578125" customWidth="1"/>
    <col min="6403" max="6403" width="16.7109375" customWidth="1"/>
    <col min="6404" max="6404" width="22.5703125" customWidth="1"/>
    <col min="6405" max="6405" width="17.5703125" customWidth="1"/>
    <col min="6407" max="6407" width="10.140625" bestFit="1" customWidth="1"/>
    <col min="6415" max="6418" width="12.85546875" bestFit="1" customWidth="1"/>
    <col min="6656" max="6656" width="36.7109375" customWidth="1"/>
    <col min="6657" max="6657" width="15.42578125" customWidth="1"/>
    <col min="6659" max="6659" width="16.7109375" customWidth="1"/>
    <col min="6660" max="6660" width="22.5703125" customWidth="1"/>
    <col min="6661" max="6661" width="17.5703125" customWidth="1"/>
    <col min="6663" max="6663" width="10.140625" bestFit="1" customWidth="1"/>
    <col min="6671" max="6674" width="12.85546875" bestFit="1" customWidth="1"/>
    <col min="6912" max="6912" width="36.7109375" customWidth="1"/>
    <col min="6913" max="6913" width="15.42578125" customWidth="1"/>
    <col min="6915" max="6915" width="16.7109375" customWidth="1"/>
    <col min="6916" max="6916" width="22.5703125" customWidth="1"/>
    <col min="6917" max="6917" width="17.5703125" customWidth="1"/>
    <col min="6919" max="6919" width="10.140625" bestFit="1" customWidth="1"/>
    <col min="6927" max="6930" width="12.85546875" bestFit="1" customWidth="1"/>
    <col min="7168" max="7168" width="36.7109375" customWidth="1"/>
    <col min="7169" max="7169" width="15.42578125" customWidth="1"/>
    <col min="7171" max="7171" width="16.7109375" customWidth="1"/>
    <col min="7172" max="7172" width="22.5703125" customWidth="1"/>
    <col min="7173" max="7173" width="17.5703125" customWidth="1"/>
    <col min="7175" max="7175" width="10.140625" bestFit="1" customWidth="1"/>
    <col min="7183" max="7186" width="12.85546875" bestFit="1" customWidth="1"/>
    <col min="7424" max="7424" width="36.7109375" customWidth="1"/>
    <col min="7425" max="7425" width="15.42578125" customWidth="1"/>
    <col min="7427" max="7427" width="16.7109375" customWidth="1"/>
    <col min="7428" max="7428" width="22.5703125" customWidth="1"/>
    <col min="7429" max="7429" width="17.5703125" customWidth="1"/>
    <col min="7431" max="7431" width="10.140625" bestFit="1" customWidth="1"/>
    <col min="7439" max="7442" width="12.85546875" bestFit="1" customWidth="1"/>
    <col min="7680" max="7680" width="36.7109375" customWidth="1"/>
    <col min="7681" max="7681" width="15.42578125" customWidth="1"/>
    <col min="7683" max="7683" width="16.7109375" customWidth="1"/>
    <col min="7684" max="7684" width="22.5703125" customWidth="1"/>
    <col min="7685" max="7685" width="17.5703125" customWidth="1"/>
    <col min="7687" max="7687" width="10.140625" bestFit="1" customWidth="1"/>
    <col min="7695" max="7698" width="12.85546875" bestFit="1" customWidth="1"/>
    <col min="7936" max="7936" width="36.7109375" customWidth="1"/>
    <col min="7937" max="7937" width="15.42578125" customWidth="1"/>
    <col min="7939" max="7939" width="16.7109375" customWidth="1"/>
    <col min="7940" max="7940" width="22.5703125" customWidth="1"/>
    <col min="7941" max="7941" width="17.5703125" customWidth="1"/>
    <col min="7943" max="7943" width="10.140625" bestFit="1" customWidth="1"/>
    <col min="7951" max="7954" width="12.85546875" bestFit="1" customWidth="1"/>
    <col min="8192" max="8192" width="36.7109375" customWidth="1"/>
    <col min="8193" max="8193" width="15.42578125" customWidth="1"/>
    <col min="8195" max="8195" width="16.7109375" customWidth="1"/>
    <col min="8196" max="8196" width="22.5703125" customWidth="1"/>
    <col min="8197" max="8197" width="17.5703125" customWidth="1"/>
    <col min="8199" max="8199" width="10.140625" bestFit="1" customWidth="1"/>
    <col min="8207" max="8210" width="12.85546875" bestFit="1" customWidth="1"/>
    <col min="8448" max="8448" width="36.7109375" customWidth="1"/>
    <col min="8449" max="8449" width="15.42578125" customWidth="1"/>
    <col min="8451" max="8451" width="16.7109375" customWidth="1"/>
    <col min="8452" max="8452" width="22.5703125" customWidth="1"/>
    <col min="8453" max="8453" width="17.5703125" customWidth="1"/>
    <col min="8455" max="8455" width="10.140625" bestFit="1" customWidth="1"/>
    <col min="8463" max="8466" width="12.85546875" bestFit="1" customWidth="1"/>
    <col min="8704" max="8704" width="36.7109375" customWidth="1"/>
    <col min="8705" max="8705" width="15.42578125" customWidth="1"/>
    <col min="8707" max="8707" width="16.7109375" customWidth="1"/>
    <col min="8708" max="8708" width="22.5703125" customWidth="1"/>
    <col min="8709" max="8709" width="17.5703125" customWidth="1"/>
    <col min="8711" max="8711" width="10.140625" bestFit="1" customWidth="1"/>
    <col min="8719" max="8722" width="12.85546875" bestFit="1" customWidth="1"/>
    <col min="8960" max="8960" width="36.7109375" customWidth="1"/>
    <col min="8961" max="8961" width="15.42578125" customWidth="1"/>
    <col min="8963" max="8963" width="16.7109375" customWidth="1"/>
    <col min="8964" max="8964" width="22.5703125" customWidth="1"/>
    <col min="8965" max="8965" width="17.5703125" customWidth="1"/>
    <col min="8967" max="8967" width="10.140625" bestFit="1" customWidth="1"/>
    <col min="8975" max="8978" width="12.85546875" bestFit="1" customWidth="1"/>
    <col min="9216" max="9216" width="36.7109375" customWidth="1"/>
    <col min="9217" max="9217" width="15.42578125" customWidth="1"/>
    <col min="9219" max="9219" width="16.7109375" customWidth="1"/>
    <col min="9220" max="9220" width="22.5703125" customWidth="1"/>
    <col min="9221" max="9221" width="17.5703125" customWidth="1"/>
    <col min="9223" max="9223" width="10.140625" bestFit="1" customWidth="1"/>
    <col min="9231" max="9234" width="12.85546875" bestFit="1" customWidth="1"/>
    <col min="9472" max="9472" width="36.7109375" customWidth="1"/>
    <col min="9473" max="9473" width="15.42578125" customWidth="1"/>
    <col min="9475" max="9475" width="16.7109375" customWidth="1"/>
    <col min="9476" max="9476" width="22.5703125" customWidth="1"/>
    <col min="9477" max="9477" width="17.5703125" customWidth="1"/>
    <col min="9479" max="9479" width="10.140625" bestFit="1" customWidth="1"/>
    <col min="9487" max="9490" width="12.85546875" bestFit="1" customWidth="1"/>
    <col min="9728" max="9728" width="36.7109375" customWidth="1"/>
    <col min="9729" max="9729" width="15.42578125" customWidth="1"/>
    <col min="9731" max="9731" width="16.7109375" customWidth="1"/>
    <col min="9732" max="9732" width="22.5703125" customWidth="1"/>
    <col min="9733" max="9733" width="17.5703125" customWidth="1"/>
    <col min="9735" max="9735" width="10.140625" bestFit="1" customWidth="1"/>
    <col min="9743" max="9746" width="12.85546875" bestFit="1" customWidth="1"/>
    <col min="9984" max="9984" width="36.7109375" customWidth="1"/>
    <col min="9985" max="9985" width="15.42578125" customWidth="1"/>
    <col min="9987" max="9987" width="16.7109375" customWidth="1"/>
    <col min="9988" max="9988" width="22.5703125" customWidth="1"/>
    <col min="9989" max="9989" width="17.5703125" customWidth="1"/>
    <col min="9991" max="9991" width="10.140625" bestFit="1" customWidth="1"/>
    <col min="9999" max="10002" width="12.85546875" bestFit="1" customWidth="1"/>
    <col min="10240" max="10240" width="36.7109375" customWidth="1"/>
    <col min="10241" max="10241" width="15.42578125" customWidth="1"/>
    <col min="10243" max="10243" width="16.7109375" customWidth="1"/>
    <col min="10244" max="10244" width="22.5703125" customWidth="1"/>
    <col min="10245" max="10245" width="17.5703125" customWidth="1"/>
    <col min="10247" max="10247" width="10.140625" bestFit="1" customWidth="1"/>
    <col min="10255" max="10258" width="12.85546875" bestFit="1" customWidth="1"/>
    <col min="10496" max="10496" width="36.7109375" customWidth="1"/>
    <col min="10497" max="10497" width="15.42578125" customWidth="1"/>
    <col min="10499" max="10499" width="16.7109375" customWidth="1"/>
    <col min="10500" max="10500" width="22.5703125" customWidth="1"/>
    <col min="10501" max="10501" width="17.5703125" customWidth="1"/>
    <col min="10503" max="10503" width="10.140625" bestFit="1" customWidth="1"/>
    <col min="10511" max="10514" width="12.85546875" bestFit="1" customWidth="1"/>
    <col min="10752" max="10752" width="36.7109375" customWidth="1"/>
    <col min="10753" max="10753" width="15.42578125" customWidth="1"/>
    <col min="10755" max="10755" width="16.7109375" customWidth="1"/>
    <col min="10756" max="10756" width="22.5703125" customWidth="1"/>
    <col min="10757" max="10757" width="17.5703125" customWidth="1"/>
    <col min="10759" max="10759" width="10.140625" bestFit="1" customWidth="1"/>
    <col min="10767" max="10770" width="12.85546875" bestFit="1" customWidth="1"/>
    <col min="11008" max="11008" width="36.7109375" customWidth="1"/>
    <col min="11009" max="11009" width="15.42578125" customWidth="1"/>
    <col min="11011" max="11011" width="16.7109375" customWidth="1"/>
    <col min="11012" max="11012" width="22.5703125" customWidth="1"/>
    <col min="11013" max="11013" width="17.5703125" customWidth="1"/>
    <col min="11015" max="11015" width="10.140625" bestFit="1" customWidth="1"/>
    <col min="11023" max="11026" width="12.85546875" bestFit="1" customWidth="1"/>
    <col min="11264" max="11264" width="36.7109375" customWidth="1"/>
    <col min="11265" max="11265" width="15.42578125" customWidth="1"/>
    <col min="11267" max="11267" width="16.7109375" customWidth="1"/>
    <col min="11268" max="11268" width="22.5703125" customWidth="1"/>
    <col min="11269" max="11269" width="17.5703125" customWidth="1"/>
    <col min="11271" max="11271" width="10.140625" bestFit="1" customWidth="1"/>
    <col min="11279" max="11282" width="12.85546875" bestFit="1" customWidth="1"/>
    <col min="11520" max="11520" width="36.7109375" customWidth="1"/>
    <col min="11521" max="11521" width="15.42578125" customWidth="1"/>
    <col min="11523" max="11523" width="16.7109375" customWidth="1"/>
    <col min="11524" max="11524" width="22.5703125" customWidth="1"/>
    <col min="11525" max="11525" width="17.5703125" customWidth="1"/>
    <col min="11527" max="11527" width="10.140625" bestFit="1" customWidth="1"/>
    <col min="11535" max="11538" width="12.85546875" bestFit="1" customWidth="1"/>
    <col min="11776" max="11776" width="36.7109375" customWidth="1"/>
    <col min="11777" max="11777" width="15.42578125" customWidth="1"/>
    <col min="11779" max="11779" width="16.7109375" customWidth="1"/>
    <col min="11780" max="11780" width="22.5703125" customWidth="1"/>
    <col min="11781" max="11781" width="17.5703125" customWidth="1"/>
    <col min="11783" max="11783" width="10.140625" bestFit="1" customWidth="1"/>
    <col min="11791" max="11794" width="12.85546875" bestFit="1" customWidth="1"/>
    <col min="12032" max="12032" width="36.7109375" customWidth="1"/>
    <col min="12033" max="12033" width="15.42578125" customWidth="1"/>
    <col min="12035" max="12035" width="16.7109375" customWidth="1"/>
    <col min="12036" max="12036" width="22.5703125" customWidth="1"/>
    <col min="12037" max="12037" width="17.5703125" customWidth="1"/>
    <col min="12039" max="12039" width="10.140625" bestFit="1" customWidth="1"/>
    <col min="12047" max="12050" width="12.85546875" bestFit="1" customWidth="1"/>
    <col min="12288" max="12288" width="36.7109375" customWidth="1"/>
    <col min="12289" max="12289" width="15.42578125" customWidth="1"/>
    <col min="12291" max="12291" width="16.7109375" customWidth="1"/>
    <col min="12292" max="12292" width="22.5703125" customWidth="1"/>
    <col min="12293" max="12293" width="17.5703125" customWidth="1"/>
    <col min="12295" max="12295" width="10.140625" bestFit="1" customWidth="1"/>
    <col min="12303" max="12306" width="12.85546875" bestFit="1" customWidth="1"/>
    <col min="12544" max="12544" width="36.7109375" customWidth="1"/>
    <col min="12545" max="12545" width="15.42578125" customWidth="1"/>
    <col min="12547" max="12547" width="16.7109375" customWidth="1"/>
    <col min="12548" max="12548" width="22.5703125" customWidth="1"/>
    <col min="12549" max="12549" width="17.5703125" customWidth="1"/>
    <col min="12551" max="12551" width="10.140625" bestFit="1" customWidth="1"/>
    <col min="12559" max="12562" width="12.85546875" bestFit="1" customWidth="1"/>
    <col min="12800" max="12800" width="36.7109375" customWidth="1"/>
    <col min="12801" max="12801" width="15.42578125" customWidth="1"/>
    <col min="12803" max="12803" width="16.7109375" customWidth="1"/>
    <col min="12804" max="12804" width="22.5703125" customWidth="1"/>
    <col min="12805" max="12805" width="17.5703125" customWidth="1"/>
    <col min="12807" max="12807" width="10.140625" bestFit="1" customWidth="1"/>
    <col min="12815" max="12818" width="12.85546875" bestFit="1" customWidth="1"/>
    <col min="13056" max="13056" width="36.7109375" customWidth="1"/>
    <col min="13057" max="13057" width="15.42578125" customWidth="1"/>
    <col min="13059" max="13059" width="16.7109375" customWidth="1"/>
    <col min="13060" max="13060" width="22.5703125" customWidth="1"/>
    <col min="13061" max="13061" width="17.5703125" customWidth="1"/>
    <col min="13063" max="13063" width="10.140625" bestFit="1" customWidth="1"/>
    <col min="13071" max="13074" width="12.85546875" bestFit="1" customWidth="1"/>
    <col min="13312" max="13312" width="36.7109375" customWidth="1"/>
    <col min="13313" max="13313" width="15.42578125" customWidth="1"/>
    <col min="13315" max="13315" width="16.7109375" customWidth="1"/>
    <col min="13316" max="13316" width="22.5703125" customWidth="1"/>
    <col min="13317" max="13317" width="17.5703125" customWidth="1"/>
    <col min="13319" max="13319" width="10.140625" bestFit="1" customWidth="1"/>
    <col min="13327" max="13330" width="12.85546875" bestFit="1" customWidth="1"/>
    <col min="13568" max="13568" width="36.7109375" customWidth="1"/>
    <col min="13569" max="13569" width="15.42578125" customWidth="1"/>
    <col min="13571" max="13571" width="16.7109375" customWidth="1"/>
    <col min="13572" max="13572" width="22.5703125" customWidth="1"/>
    <col min="13573" max="13573" width="17.5703125" customWidth="1"/>
    <col min="13575" max="13575" width="10.140625" bestFit="1" customWidth="1"/>
    <col min="13583" max="13586" width="12.85546875" bestFit="1" customWidth="1"/>
    <col min="13824" max="13824" width="36.7109375" customWidth="1"/>
    <col min="13825" max="13825" width="15.42578125" customWidth="1"/>
    <col min="13827" max="13827" width="16.7109375" customWidth="1"/>
    <col min="13828" max="13828" width="22.5703125" customWidth="1"/>
    <col min="13829" max="13829" width="17.5703125" customWidth="1"/>
    <col min="13831" max="13831" width="10.140625" bestFit="1" customWidth="1"/>
    <col min="13839" max="13842" width="12.85546875" bestFit="1" customWidth="1"/>
    <col min="14080" max="14080" width="36.7109375" customWidth="1"/>
    <col min="14081" max="14081" width="15.42578125" customWidth="1"/>
    <col min="14083" max="14083" width="16.7109375" customWidth="1"/>
    <col min="14084" max="14084" width="22.5703125" customWidth="1"/>
    <col min="14085" max="14085" width="17.5703125" customWidth="1"/>
    <col min="14087" max="14087" width="10.140625" bestFit="1" customWidth="1"/>
    <col min="14095" max="14098" width="12.85546875" bestFit="1" customWidth="1"/>
    <col min="14336" max="14336" width="36.7109375" customWidth="1"/>
    <col min="14337" max="14337" width="15.42578125" customWidth="1"/>
    <col min="14339" max="14339" width="16.7109375" customWidth="1"/>
    <col min="14340" max="14340" width="22.5703125" customWidth="1"/>
    <col min="14341" max="14341" width="17.5703125" customWidth="1"/>
    <col min="14343" max="14343" width="10.140625" bestFit="1" customWidth="1"/>
    <col min="14351" max="14354" width="12.85546875" bestFit="1" customWidth="1"/>
    <col min="14592" max="14592" width="36.7109375" customWidth="1"/>
    <col min="14593" max="14593" width="15.42578125" customWidth="1"/>
    <col min="14595" max="14595" width="16.7109375" customWidth="1"/>
    <col min="14596" max="14596" width="22.5703125" customWidth="1"/>
    <col min="14597" max="14597" width="17.5703125" customWidth="1"/>
    <col min="14599" max="14599" width="10.140625" bestFit="1" customWidth="1"/>
    <col min="14607" max="14610" width="12.85546875" bestFit="1" customWidth="1"/>
    <col min="14848" max="14848" width="36.7109375" customWidth="1"/>
    <col min="14849" max="14849" width="15.42578125" customWidth="1"/>
    <col min="14851" max="14851" width="16.7109375" customWidth="1"/>
    <col min="14852" max="14852" width="22.5703125" customWidth="1"/>
    <col min="14853" max="14853" width="17.5703125" customWidth="1"/>
    <col min="14855" max="14855" width="10.140625" bestFit="1" customWidth="1"/>
    <col min="14863" max="14866" width="12.85546875" bestFit="1" customWidth="1"/>
    <col min="15104" max="15104" width="36.7109375" customWidth="1"/>
    <col min="15105" max="15105" width="15.42578125" customWidth="1"/>
    <col min="15107" max="15107" width="16.7109375" customWidth="1"/>
    <col min="15108" max="15108" width="22.5703125" customWidth="1"/>
    <col min="15109" max="15109" width="17.5703125" customWidth="1"/>
    <col min="15111" max="15111" width="10.140625" bestFit="1" customWidth="1"/>
    <col min="15119" max="15122" width="12.85546875" bestFit="1" customWidth="1"/>
    <col min="15360" max="15360" width="36.7109375" customWidth="1"/>
    <col min="15361" max="15361" width="15.42578125" customWidth="1"/>
    <col min="15363" max="15363" width="16.7109375" customWidth="1"/>
    <col min="15364" max="15364" width="22.5703125" customWidth="1"/>
    <col min="15365" max="15365" width="17.5703125" customWidth="1"/>
    <col min="15367" max="15367" width="10.140625" bestFit="1" customWidth="1"/>
    <col min="15375" max="15378" width="12.85546875" bestFit="1" customWidth="1"/>
    <col min="15616" max="15616" width="36.7109375" customWidth="1"/>
    <col min="15617" max="15617" width="15.42578125" customWidth="1"/>
    <col min="15619" max="15619" width="16.7109375" customWidth="1"/>
    <col min="15620" max="15620" width="22.5703125" customWidth="1"/>
    <col min="15621" max="15621" width="17.5703125" customWidth="1"/>
    <col min="15623" max="15623" width="10.140625" bestFit="1" customWidth="1"/>
    <col min="15631" max="15634" width="12.85546875" bestFit="1" customWidth="1"/>
    <col min="15872" max="15872" width="36.7109375" customWidth="1"/>
    <col min="15873" max="15873" width="15.42578125" customWidth="1"/>
    <col min="15875" max="15875" width="16.7109375" customWidth="1"/>
    <col min="15876" max="15876" width="22.5703125" customWidth="1"/>
    <col min="15877" max="15877" width="17.5703125" customWidth="1"/>
    <col min="15879" max="15879" width="10.140625" bestFit="1" customWidth="1"/>
    <col min="15887" max="15890" width="12.85546875" bestFit="1" customWidth="1"/>
    <col min="16128" max="16128" width="36.7109375" customWidth="1"/>
    <col min="16129" max="16129" width="15.42578125" customWidth="1"/>
    <col min="16131" max="16131" width="16.7109375" customWidth="1"/>
    <col min="16132" max="16132" width="22.5703125" customWidth="1"/>
    <col min="16133" max="16133" width="17.5703125" customWidth="1"/>
    <col min="16135" max="16135" width="10.140625" bestFit="1" customWidth="1"/>
    <col min="16143" max="16146" width="12.85546875" bestFit="1" customWidth="1"/>
  </cols>
  <sheetData>
    <row r="1" spans="1:18" x14ac:dyDescent="0.25">
      <c r="B1" s="36"/>
      <c r="C1" s="37"/>
    </row>
    <row r="2" spans="1:18" ht="15.75" x14ac:dyDescent="0.25">
      <c r="F2" s="38"/>
    </row>
    <row r="3" spans="1:18" ht="30" x14ac:dyDescent="0.4">
      <c r="A3" s="818" t="s">
        <v>184</v>
      </c>
      <c r="B3" s="818"/>
      <c r="C3" s="818"/>
      <c r="D3" s="818"/>
      <c r="E3" s="818"/>
      <c r="F3" s="818"/>
      <c r="G3" s="818"/>
      <c r="H3" s="39"/>
    </row>
    <row r="4" spans="1:18" ht="18" x14ac:dyDescent="0.25">
      <c r="A4" s="40"/>
      <c r="F4" s="41"/>
    </row>
    <row r="5" spans="1:18" ht="18" x14ac:dyDescent="0.25">
      <c r="F5" s="42"/>
    </row>
    <row r="6" spans="1:18" ht="18.75" x14ac:dyDescent="0.3">
      <c r="F6" s="43"/>
    </row>
    <row r="7" spans="1:18" ht="30.75" thickBot="1" x14ac:dyDescent="0.3">
      <c r="F7" s="44" t="s">
        <v>127</v>
      </c>
      <c r="I7" s="46"/>
      <c r="J7" s="47" t="s">
        <v>124</v>
      </c>
      <c r="K7" s="48" t="s">
        <v>442</v>
      </c>
      <c r="L7" s="48" t="s">
        <v>3</v>
      </c>
      <c r="P7" s="49"/>
      <c r="Q7" s="49"/>
      <c r="R7" s="49"/>
    </row>
    <row r="8" spans="1:18" ht="17.25" thickTop="1" thickBot="1" x14ac:dyDescent="0.3">
      <c r="A8" s="50" t="s">
        <v>126</v>
      </c>
      <c r="B8" s="51">
        <f>'Spur-Netback'!C37</f>
        <v>45413</v>
      </c>
      <c r="C8" s="44"/>
      <c r="E8" s="56" t="s">
        <v>128</v>
      </c>
      <c r="F8" s="57">
        <f>B9</f>
        <v>21147</v>
      </c>
      <c r="G8" s="45" t="s">
        <v>130</v>
      </c>
      <c r="I8" s="52" t="s">
        <v>176</v>
      </c>
      <c r="J8" s="53">
        <v>815</v>
      </c>
      <c r="K8" s="54">
        <f>Inputs!C14</f>
        <v>737</v>
      </c>
      <c r="L8" s="54">
        <f>Inputs!C18</f>
        <v>924.4</v>
      </c>
    </row>
    <row r="9" spans="1:18" ht="17.25" thickTop="1" thickBot="1" x14ac:dyDescent="0.3">
      <c r="A9" s="50" t="s">
        <v>174</v>
      </c>
      <c r="B9" s="55">
        <f>Inputs!C5</f>
        <v>21147</v>
      </c>
      <c r="C9" s="1" t="s">
        <v>129</v>
      </c>
      <c r="E9" s="56" t="s">
        <v>132</v>
      </c>
      <c r="F9" s="59">
        <f>B36</f>
        <v>19.324663269207779</v>
      </c>
      <c r="G9" s="45" t="s">
        <v>112</v>
      </c>
      <c r="I9" s="52" t="s">
        <v>177</v>
      </c>
      <c r="J9" s="58">
        <v>0.35</v>
      </c>
      <c r="K9" s="58">
        <v>0.1</v>
      </c>
      <c r="L9" s="58">
        <v>4</v>
      </c>
    </row>
    <row r="10" spans="1:18" ht="17.25" thickTop="1" thickBot="1" x14ac:dyDescent="0.3">
      <c r="A10" s="50" t="s">
        <v>175</v>
      </c>
      <c r="B10" s="121">
        <f>Inputs!C16</f>
        <v>965</v>
      </c>
      <c r="C10" s="1" t="s">
        <v>131</v>
      </c>
      <c r="E10" s="56" t="s">
        <v>134</v>
      </c>
      <c r="F10" s="61">
        <f>((F9/100)*B9)/(1-F9/100)</f>
        <v>5065.4719362077331</v>
      </c>
      <c r="G10" s="45" t="s">
        <v>130</v>
      </c>
      <c r="I10" s="52" t="s">
        <v>34</v>
      </c>
      <c r="J10" s="60">
        <f>_xlfn.XLOOKUP($B$8,MonthlyData!$B:$B,MonthlyData!$D:$D)</f>
        <v>78.62</v>
      </c>
      <c r="K10" s="60">
        <f>J10</f>
        <v>78.62</v>
      </c>
      <c r="L10" s="60">
        <f>J10</f>
        <v>78.62</v>
      </c>
    </row>
    <row r="11" spans="1:18" ht="17.25" thickTop="1" thickBot="1" x14ac:dyDescent="0.3">
      <c r="A11" s="50" t="s">
        <v>348</v>
      </c>
      <c r="B11" s="122">
        <f>K8</f>
        <v>737</v>
      </c>
      <c r="C11" s="1" t="s">
        <v>131</v>
      </c>
      <c r="E11" s="56" t="s">
        <v>136</v>
      </c>
      <c r="F11" s="57">
        <f>(B9+F10)*B37/100</f>
        <v>98.11907455789698</v>
      </c>
      <c r="G11" s="45" t="s">
        <v>130</v>
      </c>
      <c r="I11" s="52" t="s">
        <v>48</v>
      </c>
      <c r="J11" s="124">
        <f>_xlfn.XLOOKUP($B$8,MonthlyData!$B:$B,MonthlyData!$E:$E)</f>
        <v>1.3669500000000001</v>
      </c>
      <c r="K11" s="124">
        <f>J11</f>
        <v>1.3669500000000001</v>
      </c>
      <c r="L11" s="124">
        <f>K11</f>
        <v>1.3669500000000001</v>
      </c>
    </row>
    <row r="12" spans="1:18" ht="17.25" thickTop="1" thickBot="1" x14ac:dyDescent="0.3">
      <c r="A12" s="50" t="s">
        <v>135</v>
      </c>
      <c r="B12" s="55">
        <f>L8</f>
        <v>924.4</v>
      </c>
      <c r="C12" s="1" t="s">
        <v>131</v>
      </c>
      <c r="E12" s="56" t="s">
        <v>137</v>
      </c>
      <c r="F12" s="61">
        <f>B9+F10-F11</f>
        <v>26114.352861649837</v>
      </c>
      <c r="G12" s="45" t="s">
        <v>130</v>
      </c>
      <c r="I12" s="52" t="s">
        <v>178</v>
      </c>
      <c r="J12" s="60">
        <f>_xlfn.XLOOKUP($B$8,MonthlyData!$B:$B,MonthlyData!$F:$F)</f>
        <v>-3.78</v>
      </c>
      <c r="K12" s="60">
        <f>_xlfn.XLOOKUP($B$8,MonthlyData!$B:$B,MonthlyData!$M:$M)</f>
        <v>-4.1900000000000004</v>
      </c>
      <c r="L12" s="60">
        <f>_xlfn.XLOOKUP($B$8,MonthlyData!$B:$B,MonthlyData!$BP:$BP)</f>
        <v>-12.82</v>
      </c>
    </row>
    <row r="13" spans="1:18" ht="15.75" thickTop="1" x14ac:dyDescent="0.25">
      <c r="C13" s="62"/>
      <c r="I13" s="52" t="s">
        <v>179</v>
      </c>
      <c r="J13" s="60">
        <f>_xlfn.XLOOKUP($B$8,MonthlyData!$B:$B,MonthlyData!$G:$G)</f>
        <v>1.4999999999999999E-2</v>
      </c>
      <c r="K13" s="60">
        <f>_xlfn.XLOOKUP($B$8,MonthlyData!$B:$B,MonthlyData!$X:$X)</f>
        <v>-4.2699999999999996</v>
      </c>
      <c r="L13" s="60">
        <v>0</v>
      </c>
    </row>
    <row r="14" spans="1:18" ht="15.75" x14ac:dyDescent="0.25">
      <c r="A14" s="123" t="s">
        <v>183</v>
      </c>
      <c r="C14" s="62"/>
      <c r="E14" s="56"/>
      <c r="F14" s="63"/>
      <c r="G14" s="45"/>
      <c r="I14" s="52" t="s">
        <v>139</v>
      </c>
      <c r="J14" s="64">
        <f>J13+(J10+J12)*6.29287*J11</f>
        <v>643.79157230406008</v>
      </c>
      <c r="K14" s="64">
        <f>K13+(K10+K12)*6.29287*K11</f>
        <v>635.97973645899503</v>
      </c>
      <c r="L14" s="64">
        <f>L13+(L10+L12)*6.2898105*L11</f>
        <v>565.73895526375509</v>
      </c>
    </row>
    <row r="15" spans="1:18" x14ac:dyDescent="0.25">
      <c r="A15" s="123" t="s">
        <v>182</v>
      </c>
      <c r="B15" s="67"/>
      <c r="E15" t="s">
        <v>140</v>
      </c>
      <c r="F15" s="65">
        <f>F10-F11</f>
        <v>4967.3528616498361</v>
      </c>
      <c r="I15" s="52" t="s">
        <v>141</v>
      </c>
      <c r="J15" s="66">
        <f>IF(J8&gt;825,(825-J8)*0.49,IF(J8&lt;800,(J8-800)*0.49,0))+(0.5-J9)*13.8</f>
        <v>2.0700000000000003</v>
      </c>
      <c r="K15" s="66">
        <f>(750-K8)*$B$18+(0.2-$K$9)*13.8</f>
        <v>3.59</v>
      </c>
      <c r="L15" s="66">
        <v>0</v>
      </c>
    </row>
    <row r="16" spans="1:18" x14ac:dyDescent="0.25">
      <c r="A16" s="123" t="s">
        <v>181</v>
      </c>
      <c r="E16" t="s">
        <v>142</v>
      </c>
      <c r="F16" s="67">
        <f>F11/F10*100</f>
        <v>1.9370174347733895</v>
      </c>
      <c r="I16" s="52" t="s">
        <v>143</v>
      </c>
      <c r="J16" s="68"/>
      <c r="K16" s="68"/>
      <c r="L16" s="68"/>
    </row>
    <row r="17" spans="1:18" x14ac:dyDescent="0.25">
      <c r="E17" t="s">
        <v>144</v>
      </c>
      <c r="F17" s="36">
        <f>(F19-F12)/F19*100</f>
        <v>0.37432209673580391</v>
      </c>
      <c r="H17" s="69"/>
      <c r="I17" s="52" t="s">
        <v>145</v>
      </c>
      <c r="J17" s="68"/>
      <c r="K17" s="68"/>
      <c r="L17" s="68"/>
    </row>
    <row r="18" spans="1:18" x14ac:dyDescent="0.25">
      <c r="A18" s="70" t="s">
        <v>146</v>
      </c>
      <c r="B18" s="71">
        <f>_xlfn.XLOOKUP($B$8,MonthlyData!$B:$B,MonthlyData!$Y:$Y)</f>
        <v>0.17</v>
      </c>
      <c r="E18" t="s">
        <v>147</v>
      </c>
      <c r="F18" s="36">
        <f>(F19-F12)/F12*100</f>
        <v>0.37572853165352404</v>
      </c>
      <c r="H18" s="69"/>
      <c r="I18" s="52" t="s">
        <v>148</v>
      </c>
      <c r="J18" s="68"/>
      <c r="K18" s="68"/>
      <c r="L18" s="68"/>
    </row>
    <row r="19" spans="1:18" x14ac:dyDescent="0.25">
      <c r="A19" s="70" t="s">
        <v>335</v>
      </c>
      <c r="B19" s="72">
        <v>1.9699999999999999E-2</v>
      </c>
      <c r="D19" s="73" t="s">
        <v>149</v>
      </c>
      <c r="E19" t="s">
        <v>150</v>
      </c>
      <c r="F19" s="65">
        <f>F8+F10</f>
        <v>26212.471936207734</v>
      </c>
      <c r="H19" s="69"/>
      <c r="I19" s="74" t="s">
        <v>9</v>
      </c>
      <c r="J19" s="75">
        <f>SUM(J14:J18)</f>
        <v>645.86157230406013</v>
      </c>
      <c r="K19" s="75">
        <f>SUM(K14:K18)</f>
        <v>639.56973645899507</v>
      </c>
      <c r="L19" s="75">
        <f>SUM(L14:L18)</f>
        <v>565.73895526375509</v>
      </c>
    </row>
    <row r="20" spans="1:18" x14ac:dyDescent="0.25">
      <c r="A20" s="73"/>
      <c r="E20" t="s">
        <v>151</v>
      </c>
      <c r="F20" s="67">
        <f>F10/F8*100</f>
        <v>23.953619597142538</v>
      </c>
      <c r="G20" s="67"/>
    </row>
    <row r="21" spans="1:18" x14ac:dyDescent="0.25">
      <c r="E21" t="s">
        <v>152</v>
      </c>
      <c r="F21" s="67">
        <f>F10/F12*100</f>
        <v>19.397271542756162</v>
      </c>
      <c r="G21" s="67"/>
      <c r="H21" s="67"/>
    </row>
    <row r="22" spans="1:18" x14ac:dyDescent="0.25">
      <c r="F22" s="67"/>
      <c r="G22" s="67"/>
      <c r="H22" s="67"/>
    </row>
    <row r="23" spans="1:18" x14ac:dyDescent="0.25">
      <c r="I23" s="70"/>
    </row>
    <row r="24" spans="1:18" x14ac:dyDescent="0.25">
      <c r="A24" s="76" t="s">
        <v>153</v>
      </c>
    </row>
    <row r="25" spans="1:18" ht="15.75" x14ac:dyDescent="0.25">
      <c r="A25" s="50" t="s">
        <v>154</v>
      </c>
      <c r="B25" s="36"/>
      <c r="D25" s="77" t="s">
        <v>155</v>
      </c>
      <c r="E25" s="77" t="s">
        <v>156</v>
      </c>
    </row>
    <row r="26" spans="1:18" x14ac:dyDescent="0.25">
      <c r="A26" t="s">
        <v>132</v>
      </c>
      <c r="B26" s="36">
        <f>((B10-B12)/(B10-B11))*100</f>
        <v>17.807017543859661</v>
      </c>
      <c r="C26" t="s">
        <v>112</v>
      </c>
      <c r="D26" s="78">
        <f>(B26/100*$B$9)/(1-B26/100)</f>
        <v>4581.4738527214549</v>
      </c>
      <c r="E26" s="78">
        <f>(D26*$B$11+$B$9*$B$10)/(D26+$B$9)/(1-B27/100)</f>
        <v>927.6876441177476</v>
      </c>
      <c r="N26" s="45"/>
    </row>
    <row r="27" spans="1:18" x14ac:dyDescent="0.25">
      <c r="A27" t="s">
        <v>157</v>
      </c>
      <c r="B27" s="36">
        <f>(0.0266*B26)-(0.0004*(POWER(B26,2)))+(0.000001339*(POWER(B26,3)))</f>
        <v>0.35439128014625293</v>
      </c>
      <c r="C27" t="s">
        <v>112</v>
      </c>
      <c r="D27" s="78">
        <f>(B9/(1-B26/100))*(B26/100)</f>
        <v>4581.4738527214549</v>
      </c>
      <c r="E27" s="78"/>
      <c r="N27" s="79"/>
      <c r="O27" s="79"/>
      <c r="P27" s="79"/>
      <c r="Q27" s="79"/>
    </row>
    <row r="28" spans="1:18" x14ac:dyDescent="0.25">
      <c r="A28" t="s">
        <v>132</v>
      </c>
      <c r="B28" s="36">
        <f>(((($B$10-$B$12)/($B$10-$B$11))+((B27/100)*$B$12)/($B$10-$B$11)))*100</f>
        <v>19.243856576171925</v>
      </c>
      <c r="C28" t="s">
        <v>112</v>
      </c>
      <c r="D28" s="78">
        <f>(B28/100*$B$9)/(1-B28/100)</f>
        <v>5039.2430564760252</v>
      </c>
      <c r="E28" s="78">
        <f>(D28*$B$11+$B$9*$B$10)/(D28+$B$9)/(1-B29/100)</f>
        <v>924.57543381500932</v>
      </c>
      <c r="N28" s="80"/>
      <c r="O28" s="79"/>
      <c r="P28" s="79"/>
      <c r="Q28" s="79"/>
      <c r="R28" s="79"/>
    </row>
    <row r="29" spans="1:18" x14ac:dyDescent="0.25">
      <c r="A29" t="s">
        <v>157</v>
      </c>
      <c r="B29" s="36">
        <f>(0.0266*B28)-(0.0004*(POWER(B28,2)))+(0.000001339*(POWER(B28,3)))</f>
        <v>0.37329856304313452</v>
      </c>
      <c r="C29" t="s">
        <v>112</v>
      </c>
      <c r="D29" s="78"/>
      <c r="E29" s="78"/>
      <c r="N29" s="80"/>
      <c r="O29" s="81"/>
      <c r="P29" s="81"/>
      <c r="Q29" s="81"/>
      <c r="R29" s="81"/>
    </row>
    <row r="30" spans="1:18" x14ac:dyDescent="0.25">
      <c r="A30" t="s">
        <v>132</v>
      </c>
      <c r="B30" s="36">
        <f>(((($B$10-$B$12)/($B$10-$B$11))+((B29/100)*$B$12)/($B$10-$B$11)))*100</f>
        <v>19.320513998583667</v>
      </c>
      <c r="C30" t="s">
        <v>112</v>
      </c>
      <c r="D30" s="78">
        <f>(B30/100*$B$9)/(1-B30/100)</f>
        <v>5064.123853254051</v>
      </c>
      <c r="E30" s="78">
        <f>(D30*$B$11+$B$9*$B$10)/(D30+$B$9)/(1-B31/100)</f>
        <v>924.40901038434606</v>
      </c>
      <c r="N30" s="80"/>
      <c r="O30" s="81"/>
      <c r="P30" s="81"/>
      <c r="Q30" s="81"/>
      <c r="R30" s="81"/>
    </row>
    <row r="31" spans="1:18" x14ac:dyDescent="0.25">
      <c r="A31" t="s">
        <v>157</v>
      </c>
      <c r="B31" s="36">
        <f>(0.0266*B30)-(0.0004*(POWER(B30,2)))+(0.000001339*(POWER(B30,3)))</f>
        <v>0.37426964279353209</v>
      </c>
      <c r="C31" t="s">
        <v>112</v>
      </c>
      <c r="D31" s="78"/>
      <c r="E31" s="78"/>
      <c r="N31" s="80"/>
      <c r="O31" s="819"/>
      <c r="P31" s="819"/>
      <c r="Q31" s="819"/>
      <c r="R31" s="82"/>
    </row>
    <row r="32" spans="1:18" x14ac:dyDescent="0.25">
      <c r="A32" t="s">
        <v>132</v>
      </c>
      <c r="B32" s="36">
        <f>(((($B$10-$B$12)/($B$10-$B$11))+((B31/100)*$B$12)/($B$10-$B$11)))*100</f>
        <v>19.324451130694488</v>
      </c>
      <c r="C32" t="s">
        <v>112</v>
      </c>
      <c r="D32" s="78">
        <f>(B32/100*$B$9)/(1-B32/100)</f>
        <v>5065.4030098117655</v>
      </c>
      <c r="E32" s="78">
        <f>(D32*$B$11+$B$9*$B$10)/(D32+$B$9)/(1-B33/100)</f>
        <v>924.40046182490062</v>
      </c>
      <c r="N32" s="80"/>
      <c r="O32" s="81"/>
      <c r="P32" s="81"/>
      <c r="Q32" s="81"/>
      <c r="R32" s="81"/>
    </row>
    <row r="33" spans="1:19" x14ac:dyDescent="0.25">
      <c r="A33" t="s">
        <v>157</v>
      </c>
      <c r="B33" s="36">
        <f>(0.0266*B32)-(0.0004*(POWER(B32,2)))+(0.000001339*(POWER(B32,3)))</f>
        <v>0.37431941520810419</v>
      </c>
      <c r="C33" t="s">
        <v>112</v>
      </c>
      <c r="D33" s="78"/>
      <c r="E33" s="78"/>
      <c r="N33" s="80"/>
      <c r="O33" s="81"/>
      <c r="P33" s="81"/>
      <c r="Q33" s="81"/>
      <c r="R33" s="81"/>
    </row>
    <row r="34" spans="1:19" x14ac:dyDescent="0.25">
      <c r="A34" t="s">
        <v>132</v>
      </c>
      <c r="B34" s="36">
        <f>(((($B$10-$B$12)/($B$10-$B$11))+((B33/100)*$B$12)/($B$10-$B$11)))*100</f>
        <v>19.324652927273569</v>
      </c>
      <c r="C34" t="s">
        <v>112</v>
      </c>
      <c r="D34" s="78">
        <f>(B34/100*$B$9)/(1-B34/100)</f>
        <v>5065.4685759784916</v>
      </c>
      <c r="E34" s="78">
        <f>(D34*$B$11+$B$9*$B$10)/(D34+$B$9)/(1-B35/100)</f>
        <v>924.40002366820522</v>
      </c>
    </row>
    <row r="35" spans="1:19" x14ac:dyDescent="0.25">
      <c r="A35" t="s">
        <v>157</v>
      </c>
      <c r="B35" s="36">
        <f>(0.0266*B34)-(0.0004*(POWER(B34,2)))+(0.000001339*(POWER(B34,3)))</f>
        <v>0.3743219660097048</v>
      </c>
      <c r="C35" t="s">
        <v>112</v>
      </c>
      <c r="D35" s="78"/>
      <c r="E35" s="78"/>
      <c r="L35" s="83"/>
      <c r="N35" s="83"/>
    </row>
    <row r="36" spans="1:19" x14ac:dyDescent="0.25">
      <c r="A36" t="s">
        <v>132</v>
      </c>
      <c r="B36" s="36">
        <f>(((($B$10-$B$12)/($B$10-$B$11))+((B35/100)*$B$12)/($B$10-$B$11)))*100</f>
        <v>19.324663269207779</v>
      </c>
      <c r="C36" t="s">
        <v>112</v>
      </c>
      <c r="D36" s="78">
        <f>(B36/100*$B$9)/(1-B36/100)</f>
        <v>5065.4719362077331</v>
      </c>
      <c r="E36" s="78">
        <f>(D36*$B$11+$B$9*$B$10)/(D36+$B$9)/(1-B37/100)</f>
        <v>924.40000121297248</v>
      </c>
    </row>
    <row r="37" spans="1:19" x14ac:dyDescent="0.25">
      <c r="A37" t="s">
        <v>157</v>
      </c>
      <c r="B37" s="36">
        <f>(0.0266*B36)-(0.0004*(POWER(B36,2)))+(0.000001339*(POWER(B36,3)))</f>
        <v>0.37432209673580397</v>
      </c>
      <c r="C37" t="s">
        <v>112</v>
      </c>
      <c r="D37" s="78"/>
    </row>
    <row r="38" spans="1:19" x14ac:dyDescent="0.25">
      <c r="B38" s="36"/>
      <c r="C38" s="36"/>
    </row>
    <row r="39" spans="1:19" x14ac:dyDescent="0.25">
      <c r="A39" s="84" t="s">
        <v>158</v>
      </c>
      <c r="B39" s="36"/>
      <c r="C39" s="36"/>
      <c r="E39">
        <f>1/1.3378</f>
        <v>0.74749588877261175</v>
      </c>
    </row>
    <row r="40" spans="1:19" x14ac:dyDescent="0.25">
      <c r="A40" s="84"/>
      <c r="B40" s="36"/>
      <c r="C40" s="36"/>
    </row>
    <row r="41" spans="1:19" ht="15.75" x14ac:dyDescent="0.25">
      <c r="A41" s="85" t="s">
        <v>159</v>
      </c>
      <c r="B41" s="86">
        <f>$K$19</f>
        <v>639.56973645899507</v>
      </c>
      <c r="C41" s="87" t="s">
        <v>111</v>
      </c>
      <c r="D41" s="76"/>
      <c r="E41" s="76"/>
      <c r="F41" s="76"/>
      <c r="G41" s="76"/>
      <c r="H41" s="88"/>
      <c r="M41" s="89"/>
    </row>
    <row r="42" spans="1:19" ht="15.75" x14ac:dyDescent="0.25">
      <c r="A42" s="90" t="s">
        <v>352</v>
      </c>
      <c r="B42" s="91">
        <v>16.54</v>
      </c>
      <c r="C42" s="87" t="s">
        <v>111</v>
      </c>
      <c r="D42" s="76"/>
      <c r="E42" s="76"/>
      <c r="F42" s="76"/>
      <c r="G42" s="76"/>
      <c r="H42" s="88"/>
      <c r="M42" s="92"/>
      <c r="N42" s="93"/>
    </row>
    <row r="43" spans="1:19" ht="15.75" x14ac:dyDescent="0.25">
      <c r="A43" s="90" t="s">
        <v>188</v>
      </c>
      <c r="B43" s="91">
        <v>3.47</v>
      </c>
      <c r="C43" s="87" t="s">
        <v>111</v>
      </c>
      <c r="D43" s="94"/>
      <c r="E43" s="95"/>
      <c r="F43" s="96"/>
      <c r="G43" s="97"/>
      <c r="H43" s="88"/>
      <c r="I43" s="98"/>
      <c r="S43" s="93"/>
    </row>
    <row r="44" spans="1:19" ht="15.75" x14ac:dyDescent="0.25">
      <c r="A44" s="85" t="s">
        <v>160</v>
      </c>
      <c r="B44" s="99">
        <f>SUM(B41:B43)</f>
        <v>659.57973645899506</v>
      </c>
      <c r="C44" s="87" t="s">
        <v>111</v>
      </c>
      <c r="D44" s="100"/>
      <c r="E44" s="95"/>
      <c r="F44" s="96"/>
      <c r="G44" s="97"/>
      <c r="H44" s="88"/>
    </row>
    <row r="45" spans="1:19" ht="15.75" x14ac:dyDescent="0.25">
      <c r="A45" s="85"/>
      <c r="B45" s="99"/>
      <c r="C45" s="1"/>
      <c r="D45" s="100"/>
      <c r="E45" s="95"/>
      <c r="F45" s="96"/>
      <c r="G45" s="97"/>
      <c r="H45" s="88"/>
    </row>
    <row r="46" spans="1:19" ht="15.75" x14ac:dyDescent="0.25">
      <c r="A46" s="40" t="s">
        <v>161</v>
      </c>
      <c r="B46" s="86">
        <f>$L$19</f>
        <v>565.73895526375509</v>
      </c>
      <c r="C46" s="87" t="s">
        <v>111</v>
      </c>
      <c r="D46" s="100"/>
      <c r="E46" s="100"/>
      <c r="F46" s="100"/>
      <c r="G46" s="100"/>
      <c r="H46" s="100"/>
    </row>
    <row r="47" spans="1:19" x14ac:dyDescent="0.25">
      <c r="A47" s="101" t="s">
        <v>162</v>
      </c>
      <c r="B47" s="91">
        <v>0</v>
      </c>
      <c r="C47" s="87" t="s">
        <v>111</v>
      </c>
      <c r="D47" s="94"/>
      <c r="F47" s="102"/>
    </row>
    <row r="48" spans="1:19" x14ac:dyDescent="0.25">
      <c r="A48" s="101" t="s">
        <v>163</v>
      </c>
      <c r="B48" s="91">
        <v>-11.82</v>
      </c>
      <c r="C48" s="87" t="s">
        <v>111</v>
      </c>
      <c r="D48" s="94"/>
      <c r="F48" s="102"/>
    </row>
    <row r="49" spans="1:9" x14ac:dyDescent="0.25">
      <c r="A49" s="101" t="s">
        <v>164</v>
      </c>
      <c r="B49" s="86">
        <f>($L$19-$J$19)*$B$19</f>
        <v>-1.5784155556940094</v>
      </c>
      <c r="C49" s="87" t="s">
        <v>111</v>
      </c>
      <c r="D49" s="94"/>
      <c r="F49" s="102"/>
    </row>
    <row r="50" spans="1:9" x14ac:dyDescent="0.25">
      <c r="A50" s="40" t="s">
        <v>350</v>
      </c>
      <c r="B50" s="86">
        <f>SUM(B46:B49)</f>
        <v>552.34053970806099</v>
      </c>
      <c r="C50" s="87" t="s">
        <v>111</v>
      </c>
      <c r="D50" s="70"/>
      <c r="E50" s="79"/>
      <c r="G50" s="79"/>
    </row>
    <row r="51" spans="1:9" ht="16.5" thickBot="1" x14ac:dyDescent="0.3">
      <c r="A51" s="40"/>
      <c r="B51" s="99"/>
      <c r="D51" s="103"/>
      <c r="E51" s="104"/>
      <c r="F51" s="105"/>
      <c r="G51" s="104"/>
      <c r="H51" s="105"/>
    </row>
    <row r="52" spans="1:9" ht="15.75" x14ac:dyDescent="0.25">
      <c r="A52" s="40" t="s">
        <v>165</v>
      </c>
      <c r="B52" s="86">
        <f>B50*F12</f>
        <v>14424015.753730418</v>
      </c>
      <c r="C52" s="1" t="s">
        <v>166</v>
      </c>
      <c r="D52" s="106">
        <f>+B50*(F11/B9)</f>
        <v>2.5627816048122329</v>
      </c>
      <c r="E52" s="107" t="s">
        <v>25</v>
      </c>
      <c r="F52" s="105"/>
      <c r="G52" s="104"/>
      <c r="H52" s="105"/>
    </row>
    <row r="53" spans="1:9" ht="16.5" thickBot="1" x14ac:dyDescent="0.3">
      <c r="A53" s="40" t="s">
        <v>167</v>
      </c>
      <c r="B53" s="86">
        <f>F10*B44</f>
        <v>3341082.6447243318</v>
      </c>
      <c r="C53" s="1" t="s">
        <v>166</v>
      </c>
      <c r="D53" s="108">
        <f>+(B44-B50)*F10/F8</f>
        <v>25.687669248749991</v>
      </c>
      <c r="E53" s="109" t="s">
        <v>168</v>
      </c>
      <c r="F53" s="105"/>
      <c r="G53" s="110"/>
      <c r="H53" s="105"/>
    </row>
    <row r="54" spans="1:9" ht="15.75" x14ac:dyDescent="0.25">
      <c r="A54" s="40" t="s">
        <v>169</v>
      </c>
      <c r="B54" s="86">
        <f>(B52-B53)/B9</f>
        <v>524.09008885449884</v>
      </c>
      <c r="C54" s="1" t="s">
        <v>111</v>
      </c>
      <c r="D54" s="103"/>
      <c r="E54" s="104"/>
      <c r="F54" s="105"/>
      <c r="G54" s="110"/>
      <c r="H54" s="105"/>
    </row>
    <row r="55" spans="1:9" ht="15.75" x14ac:dyDescent="0.25">
      <c r="A55" s="85" t="s">
        <v>170</v>
      </c>
      <c r="B55" s="86">
        <f>-0.15%*B46</f>
        <v>-0.8486084328956327</v>
      </c>
      <c r="C55" s="1" t="s">
        <v>111</v>
      </c>
      <c r="D55" s="103"/>
      <c r="E55" s="104"/>
      <c r="F55" s="105"/>
      <c r="G55" s="110"/>
      <c r="H55" s="105"/>
    </row>
    <row r="56" spans="1:9" ht="15.75" x14ac:dyDescent="0.25">
      <c r="A56" s="70"/>
      <c r="B56" s="99"/>
      <c r="C56" s="1"/>
      <c r="D56" s="111"/>
      <c r="E56" s="73"/>
      <c r="F56" s="112"/>
      <c r="H56" s="112"/>
    </row>
    <row r="57" spans="1:9" ht="18" x14ac:dyDescent="0.25">
      <c r="A57" s="113" t="s">
        <v>171</v>
      </c>
      <c r="B57" s="114">
        <f>SUM(B54:B55)</f>
        <v>523.24148042160323</v>
      </c>
      <c r="C57" s="1" t="s">
        <v>111</v>
      </c>
      <c r="F57" s="115"/>
      <c r="H57" s="115"/>
    </row>
    <row r="58" spans="1:9" ht="15.75" x14ac:dyDescent="0.25">
      <c r="B58" s="116">
        <f>B57/6.29287/$J$11</f>
        <v>60.827613304725134</v>
      </c>
      <c r="C58" s="1" t="s">
        <v>109</v>
      </c>
      <c r="D58" s="117"/>
      <c r="E58" s="73"/>
      <c r="F58" s="115"/>
      <c r="H58" s="115"/>
      <c r="I58" s="73"/>
    </row>
    <row r="59" spans="1:9" ht="15.75" x14ac:dyDescent="0.25">
      <c r="B59" s="116">
        <f>B58-$J$10</f>
        <v>-17.792386695274871</v>
      </c>
      <c r="C59" s="1" t="s">
        <v>172</v>
      </c>
      <c r="D59" s="117"/>
      <c r="F59" s="111"/>
      <c r="H59" s="111"/>
    </row>
    <row r="60" spans="1:9" ht="16.5" customHeight="1" x14ac:dyDescent="0.25">
      <c r="B60" s="1"/>
      <c r="C60" s="1"/>
      <c r="D60" s="111"/>
      <c r="F60" s="111"/>
      <c r="H60" s="111"/>
    </row>
    <row r="61" spans="1:9" x14ac:dyDescent="0.25">
      <c r="A61" s="79" t="s">
        <v>346</v>
      </c>
      <c r="B61" s="118">
        <f>-(B46-(B57-B49-B48-B47-B55))</f>
        <v>-28.250450853562143</v>
      </c>
      <c r="C61" s="119" t="s">
        <v>111</v>
      </c>
      <c r="D61" s="79"/>
    </row>
    <row r="62" spans="1:9" x14ac:dyDescent="0.25">
      <c r="A62" s="79" t="s">
        <v>347</v>
      </c>
      <c r="B62" s="120">
        <f>(B61*F8)/F12</f>
        <v>-22.876779193621406</v>
      </c>
      <c r="C62" s="119" t="s">
        <v>111</v>
      </c>
      <c r="D62" s="120"/>
      <c r="E62" s="76"/>
    </row>
    <row r="63" spans="1:9" x14ac:dyDescent="0.25">
      <c r="A63" s="764" t="s">
        <v>440</v>
      </c>
      <c r="B63" s="9">
        <f>-(B44*F10)/F12</f>
        <v>-127.94047252194673</v>
      </c>
      <c r="C63" s="119" t="s">
        <v>111</v>
      </c>
    </row>
    <row r="64" spans="1:9" x14ac:dyDescent="0.25">
      <c r="B64" s="36"/>
      <c r="C64" s="36"/>
    </row>
    <row r="65" spans="2:3" x14ac:dyDescent="0.25">
      <c r="B65" s="36"/>
      <c r="C65" s="36"/>
    </row>
    <row r="66" spans="2:3" x14ac:dyDescent="0.25">
      <c r="B66" s="36"/>
      <c r="C66" s="36"/>
    </row>
    <row r="67" spans="2:3" x14ac:dyDescent="0.25">
      <c r="B67" s="36"/>
      <c r="C67" s="36"/>
    </row>
    <row r="68" spans="2:3" x14ac:dyDescent="0.25">
      <c r="B68" s="36"/>
      <c r="C68" s="36"/>
    </row>
    <row r="69" spans="2:3" x14ac:dyDescent="0.25">
      <c r="B69" s="36"/>
      <c r="C69" s="36"/>
    </row>
    <row r="70" spans="2:3" x14ac:dyDescent="0.25">
      <c r="B70" s="36"/>
      <c r="C70" s="36"/>
    </row>
    <row r="71" spans="2:3" x14ac:dyDescent="0.25">
      <c r="B71" s="36"/>
      <c r="C71" s="36"/>
    </row>
  </sheetData>
  <mergeCells count="2">
    <mergeCell ref="A3:G3"/>
    <mergeCell ref="O31:Q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ED6B-0C89-4E31-B3F3-322ECFEAB43C}">
  <dimension ref="A1:Y136"/>
  <sheetViews>
    <sheetView topLeftCell="A45" zoomScale="85" zoomScaleNormal="85" workbookViewId="0">
      <selection activeCell="D57" sqref="D57"/>
    </sheetView>
  </sheetViews>
  <sheetFormatPr defaultColWidth="9.140625" defaultRowHeight="12.75" x14ac:dyDescent="0.2"/>
  <cols>
    <col min="1" max="1" width="32.28515625" style="364" customWidth="1"/>
    <col min="2" max="2" width="16.140625" style="364" customWidth="1"/>
    <col min="3" max="4" width="19.42578125" style="364" customWidth="1"/>
    <col min="5" max="5" width="23.140625" style="364" customWidth="1"/>
    <col min="6" max="11" width="19.42578125" style="364" customWidth="1"/>
    <col min="12" max="12" width="17.140625" style="364" customWidth="1"/>
    <col min="13" max="13" width="2.7109375" style="364" customWidth="1"/>
    <col min="14" max="14" width="23.140625" style="366" customWidth="1"/>
    <col min="15" max="17" width="20" style="364" customWidth="1"/>
    <col min="18" max="18" width="20.28515625" style="364" customWidth="1"/>
    <col min="19" max="19" width="12.85546875" style="364" customWidth="1"/>
    <col min="20" max="21" width="9.85546875" style="364" customWidth="1"/>
    <col min="22" max="22" width="9.140625" style="364"/>
    <col min="23" max="23" width="14.85546875" style="364" customWidth="1"/>
    <col min="24" max="24" width="13.7109375" style="364" customWidth="1"/>
    <col min="25" max="16384" width="9.140625" style="364"/>
  </cols>
  <sheetData>
    <row r="1" spans="1:17" ht="26.25" x14ac:dyDescent="0.4">
      <c r="A1" s="363" t="s">
        <v>376</v>
      </c>
      <c r="F1" s="365"/>
      <c r="K1" s="678"/>
      <c r="L1" s="679"/>
    </row>
    <row r="2" spans="1:17" ht="26.25" x14ac:dyDescent="0.4">
      <c r="A2" s="363"/>
      <c r="K2" s="680"/>
      <c r="L2" s="681"/>
    </row>
    <row r="3" spans="1:17" ht="27" thickBot="1" x14ac:dyDescent="0.45">
      <c r="K3" s="680"/>
      <c r="L3" s="682"/>
    </row>
    <row r="4" spans="1:17" ht="13.5" customHeight="1" thickBot="1" x14ac:dyDescent="0.25">
      <c r="A4" s="367" t="s">
        <v>190</v>
      </c>
      <c r="B4" s="368"/>
      <c r="C4" s="369" t="s">
        <v>138</v>
      </c>
      <c r="D4" s="369" t="s">
        <v>191</v>
      </c>
      <c r="E4" s="370" t="s">
        <v>192</v>
      </c>
      <c r="F4" s="371"/>
      <c r="G4" s="371"/>
      <c r="H4" s="371"/>
      <c r="I4" s="371"/>
      <c r="J4" s="371"/>
      <c r="K4" s="371"/>
      <c r="L4" s="372"/>
    </row>
    <row r="5" spans="1:17" ht="13.5" customHeight="1" thickBot="1" x14ac:dyDescent="0.25">
      <c r="A5" s="643" t="s">
        <v>193</v>
      </c>
      <c r="B5" s="644">
        <f>'Spur-Netback'!C37</f>
        <v>45413</v>
      </c>
      <c r="C5" s="373" t="s">
        <v>194</v>
      </c>
      <c r="D5" s="373" t="s">
        <v>194</v>
      </c>
      <c r="E5" s="373" t="s">
        <v>194</v>
      </c>
      <c r="G5" s="374">
        <f>B5</f>
        <v>45413</v>
      </c>
      <c r="H5" s="662" t="s">
        <v>195</v>
      </c>
      <c r="I5" s="663" t="s">
        <v>196</v>
      </c>
      <c r="J5" s="663" t="s">
        <v>197</v>
      </c>
      <c r="K5" s="663" t="s">
        <v>198</v>
      </c>
      <c r="L5" s="664" t="s">
        <v>199</v>
      </c>
      <c r="P5" s="375"/>
      <c r="Q5" s="375"/>
    </row>
    <row r="6" spans="1:17" x14ac:dyDescent="0.2">
      <c r="A6" s="643" t="s">
        <v>200</v>
      </c>
      <c r="B6" s="645">
        <f>_xlfn.XLOOKUP($B$5,MonthlyData!$B:$B,MonthlyData!$D:$D)</f>
        <v>78.62</v>
      </c>
      <c r="C6" s="646"/>
      <c r="D6" s="646"/>
      <c r="E6" s="376"/>
      <c r="G6" s="377"/>
      <c r="H6" s="378" t="s">
        <v>201</v>
      </c>
      <c r="I6" s="655">
        <f>_xlfn.XLOOKUP($B$5,MonthlyData!$B:$B,MonthlyData!$Z:$Z)</f>
        <v>636.91</v>
      </c>
      <c r="J6" s="45" t="s">
        <v>202</v>
      </c>
      <c r="K6" s="379">
        <v>0</v>
      </c>
      <c r="L6" s="656">
        <v>0</v>
      </c>
      <c r="P6" s="375"/>
      <c r="Q6" s="375"/>
    </row>
    <row r="7" spans="1:17" x14ac:dyDescent="0.2">
      <c r="A7" s="647" t="s">
        <v>203</v>
      </c>
      <c r="B7" s="758">
        <f>_xlfn.XLOOKUP($B$5,MonthlyData!$B:$B,MonthlyData!$E:$E)</f>
        <v>1.3669500000000001</v>
      </c>
      <c r="C7" s="648"/>
      <c r="D7" s="648"/>
      <c r="E7" s="380"/>
      <c r="G7" s="377"/>
      <c r="H7" s="378" t="s">
        <v>204</v>
      </c>
      <c r="I7" s="381">
        <v>0</v>
      </c>
      <c r="J7" s="45" t="s">
        <v>205</v>
      </c>
      <c r="K7" s="379">
        <f>ROUND(I6-I8,2)</f>
        <v>636.91</v>
      </c>
      <c r="L7" s="656">
        <f>ROUND(K7/1000,6)</f>
        <v>0.63690999999999998</v>
      </c>
      <c r="P7" s="375"/>
      <c r="Q7" s="375"/>
    </row>
    <row r="8" spans="1:17" x14ac:dyDescent="0.2">
      <c r="A8" s="647" t="s">
        <v>326</v>
      </c>
      <c r="B8" s="649">
        <f>_xlfn.XLOOKUP($B$5,MonthlyData!$B:$B,MonthlyData!$BP:$BP)</f>
        <v>-12.82</v>
      </c>
      <c r="C8" s="650"/>
      <c r="D8" s="651"/>
      <c r="E8" s="382">
        <f>(B6+B8)*6.2898105*B7</f>
        <v>565.73895526375509</v>
      </c>
      <c r="G8" s="377"/>
      <c r="H8" s="378" t="s">
        <v>206</v>
      </c>
      <c r="I8" s="379">
        <f>ROUND(I7/2,2)</f>
        <v>0</v>
      </c>
      <c r="J8" s="45" t="s">
        <v>207</v>
      </c>
      <c r="K8" s="379">
        <f>ROUND(I6,2)</f>
        <v>636.91</v>
      </c>
      <c r="L8" s="656">
        <f>ROUND(K8/1000,6)</f>
        <v>0.63690999999999998</v>
      </c>
      <c r="P8" s="375"/>
      <c r="Q8" s="375"/>
    </row>
    <row r="9" spans="1:17" x14ac:dyDescent="0.2">
      <c r="A9" s="647" t="s">
        <v>208</v>
      </c>
      <c r="B9" s="649">
        <f>_xlfn.XLOOKUP($B$5,MonthlyData!$B:$B,MonthlyData!$M:$M)</f>
        <v>-4.1900000000000004</v>
      </c>
      <c r="C9" s="652">
        <f>_xlfn.XLOOKUP($B$5,MonthlyData!$B:$B,MonthlyData!$X:$X)</f>
        <v>-4.2699999999999996</v>
      </c>
      <c r="D9" s="652">
        <f>(($B$6+B9)*6.29287*$B$7)+C9</f>
        <v>635.97973645899503</v>
      </c>
      <c r="E9" s="383">
        <f>D9-C9</f>
        <v>640.24973645899502</v>
      </c>
      <c r="G9" s="377"/>
      <c r="H9" s="77" t="s">
        <v>209</v>
      </c>
      <c r="I9" s="657">
        <f>_xlfn.XLOOKUP($B$5,MonthlyData!$B:$B,MonthlyData!$Y:$Y)</f>
        <v>0.17</v>
      </c>
      <c r="J9" s="384" t="s">
        <v>210</v>
      </c>
      <c r="K9" s="379"/>
      <c r="L9" s="385" t="s">
        <v>211</v>
      </c>
      <c r="P9" s="375"/>
      <c r="Q9" s="375"/>
    </row>
    <row r="10" spans="1:17" x14ac:dyDescent="0.2">
      <c r="A10" s="647" t="s">
        <v>212</v>
      </c>
      <c r="B10" s="653">
        <f>_xlfn.XLOOKUP($B$5,MonthlyData!$B:$B,MonthlyData!$AM:$AM)</f>
        <v>0.47499999999999998</v>
      </c>
      <c r="E10" s="382">
        <f>(B6*B10)*6.29287*B7+D10</f>
        <v>321.23883223421927</v>
      </c>
      <c r="G10" s="377"/>
      <c r="H10" s="77" t="s">
        <v>213</v>
      </c>
      <c r="I10" s="386">
        <f>I13</f>
        <v>1.38</v>
      </c>
      <c r="J10" s="387" t="s">
        <v>214</v>
      </c>
      <c r="K10" s="388"/>
      <c r="L10" s="389" t="s">
        <v>215</v>
      </c>
      <c r="P10" s="375"/>
      <c r="Q10" s="375"/>
    </row>
    <row r="11" spans="1:17" x14ac:dyDescent="0.2">
      <c r="A11" s="647" t="s">
        <v>216</v>
      </c>
      <c r="B11" s="592">
        <f>B10</f>
        <v>0.47499999999999998</v>
      </c>
      <c r="C11" s="400"/>
      <c r="G11" s="377"/>
      <c r="H11" s="390" t="s">
        <v>217</v>
      </c>
      <c r="I11" s="391"/>
      <c r="J11" s="391"/>
      <c r="K11" s="391"/>
      <c r="L11" s="392"/>
      <c r="P11" s="375"/>
      <c r="Q11" s="375"/>
    </row>
    <row r="12" spans="1:17" ht="12.75" customHeight="1" x14ac:dyDescent="0.2">
      <c r="A12" s="647" t="s">
        <v>218</v>
      </c>
      <c r="B12" s="755">
        <f>1-B11</f>
        <v>0.52500000000000002</v>
      </c>
      <c r="C12" s="400" t="s">
        <v>219</v>
      </c>
      <c r="G12" s="377"/>
      <c r="H12" s="378" t="s">
        <v>220</v>
      </c>
      <c r="I12" s="393">
        <v>0.49</v>
      </c>
      <c r="J12" s="384" t="s">
        <v>210</v>
      </c>
      <c r="K12" s="394" t="s">
        <v>221</v>
      </c>
      <c r="L12" s="658">
        <f>_xlfn.XLOOKUP($B$5,MonthlyData!$B:$B,MonthlyData!$AE:$AE)</f>
        <v>0</v>
      </c>
      <c r="P12" s="375"/>
      <c r="Q12" s="375"/>
    </row>
    <row r="13" spans="1:17" ht="12.75" customHeight="1" x14ac:dyDescent="0.2">
      <c r="A13" s="647" t="s">
        <v>222</v>
      </c>
      <c r="B13" s="561">
        <f>B6*B11</f>
        <v>37.344500000000004</v>
      </c>
      <c r="C13" s="400"/>
      <c r="D13" s="654"/>
      <c r="G13" s="395"/>
      <c r="H13" s="396" t="s">
        <v>213</v>
      </c>
      <c r="I13" s="393">
        <v>1.38</v>
      </c>
      <c r="J13" s="387" t="s">
        <v>214</v>
      </c>
      <c r="K13" s="397" t="s">
        <v>223</v>
      </c>
      <c r="L13" s="659">
        <f>_xlfn.XLOOKUP($B$5,MonthlyData!$B:$B,MonthlyData!$AF:$AF)</f>
        <v>0</v>
      </c>
      <c r="P13" s="375"/>
      <c r="Q13" s="375"/>
    </row>
    <row r="14" spans="1:17" x14ac:dyDescent="0.2">
      <c r="A14" s="647" t="s">
        <v>224</v>
      </c>
      <c r="B14" s="561">
        <f>B13-B6</f>
        <v>-41.275500000000001</v>
      </c>
      <c r="C14" s="400"/>
      <c r="D14" s="398" t="s">
        <v>225</v>
      </c>
      <c r="E14" s="399">
        <f>E10-I15</f>
        <v>-337.0688342247758</v>
      </c>
      <c r="H14" s="373" t="s">
        <v>226</v>
      </c>
      <c r="I14" s="401">
        <f>(750-$L$14)*$I$9+(0.2-$L$15)*$I$10*10</f>
        <v>18.057929999999999</v>
      </c>
      <c r="K14" s="398" t="s">
        <v>227</v>
      </c>
      <c r="L14" s="660">
        <f>Inputs!C7</f>
        <v>660</v>
      </c>
      <c r="P14" s="375"/>
      <c r="Q14" s="375"/>
    </row>
    <row r="15" spans="1:17" ht="13.5" customHeight="1" thickBot="1" x14ac:dyDescent="0.25">
      <c r="A15" s="402"/>
      <c r="B15" s="403"/>
      <c r="C15" s="403"/>
      <c r="D15" s="403"/>
      <c r="E15" s="403"/>
      <c r="F15" s="403"/>
      <c r="G15" s="403"/>
      <c r="H15" s="404" t="s">
        <v>228</v>
      </c>
      <c r="I15" s="405">
        <f>E9+I14</f>
        <v>658.30766645899507</v>
      </c>
      <c r="J15" s="403"/>
      <c r="K15" s="404" t="s">
        <v>229</v>
      </c>
      <c r="L15" s="661">
        <f>Inputs!C8</f>
        <v>1.4999999999999999E-4</v>
      </c>
      <c r="P15" s="375"/>
      <c r="Q15" s="375"/>
    </row>
    <row r="16" spans="1:17" ht="13.5" customHeight="1" x14ac:dyDescent="0.2">
      <c r="A16" s="406"/>
      <c r="B16" s="406"/>
      <c r="C16" s="406"/>
      <c r="D16" s="406"/>
      <c r="E16" s="406"/>
      <c r="F16" s="406"/>
      <c r="G16" s="406"/>
      <c r="H16" s="406"/>
      <c r="I16" s="406"/>
      <c r="J16" s="406"/>
      <c r="K16" s="406"/>
      <c r="L16" s="406"/>
      <c r="P16" s="375"/>
      <c r="Q16" s="375"/>
    </row>
    <row r="17" spans="1:25" ht="13.5" customHeight="1" thickBot="1" x14ac:dyDescent="0.25">
      <c r="A17" s="407"/>
      <c r="B17" s="408"/>
      <c r="C17" s="409"/>
      <c r="D17" s="409"/>
      <c r="E17" s="410"/>
      <c r="F17" s="411"/>
      <c r="G17" s="406"/>
      <c r="H17" s="406"/>
      <c r="I17" s="406"/>
      <c r="J17" s="406"/>
      <c r="K17" s="406"/>
      <c r="L17" s="406"/>
      <c r="P17" s="375"/>
      <c r="Q17" s="375"/>
    </row>
    <row r="18" spans="1:25" ht="27.75" thickTop="1" thickBot="1" x14ac:dyDescent="0.45">
      <c r="A18" s="621" t="s">
        <v>370</v>
      </c>
      <c r="B18" s="622"/>
      <c r="C18" s="622"/>
      <c r="D18" s="622"/>
      <c r="E18" s="623"/>
      <c r="F18" s="624"/>
      <c r="G18" s="625"/>
      <c r="H18" s="625"/>
      <c r="I18" s="625"/>
      <c r="J18" s="625"/>
      <c r="K18" s="625"/>
      <c r="L18" s="626"/>
      <c r="N18" s="412" t="s">
        <v>230</v>
      </c>
      <c r="O18" s="413"/>
      <c r="P18" s="413"/>
      <c r="Q18" s="413"/>
      <c r="R18" s="414"/>
      <c r="S18" s="415"/>
      <c r="T18" s="416"/>
      <c r="U18" s="416"/>
      <c r="V18" s="416"/>
      <c r="W18" s="416"/>
      <c r="X18" s="416"/>
      <c r="Y18" s="417"/>
    </row>
    <row r="19" spans="1:25" ht="13.5" customHeight="1" thickBot="1" x14ac:dyDescent="0.25">
      <c r="A19" s="699" t="s">
        <v>371</v>
      </c>
      <c r="B19" s="419"/>
      <c r="C19" s="420"/>
      <c r="D19" s="420"/>
      <c r="E19" s="420"/>
      <c r="F19" s="420"/>
      <c r="G19" s="420"/>
      <c r="H19" s="420"/>
      <c r="I19" s="420"/>
      <c r="J19" s="420"/>
      <c r="K19" s="420"/>
      <c r="L19" s="421"/>
      <c r="N19" s="418"/>
      <c r="O19" s="419"/>
      <c r="P19" s="420"/>
      <c r="Q19" s="420"/>
      <c r="R19" s="420"/>
      <c r="S19" s="420"/>
      <c r="T19" s="420"/>
      <c r="U19" s="420"/>
      <c r="V19" s="420"/>
      <c r="W19" s="420"/>
      <c r="X19" s="420"/>
      <c r="Y19" s="421"/>
    </row>
    <row r="20" spans="1:25" ht="13.5" customHeight="1" thickBot="1" x14ac:dyDescent="0.3">
      <c r="A20" s="422"/>
      <c r="B20" s="423" t="s">
        <v>231</v>
      </c>
      <c r="C20" s="424"/>
      <c r="D20" s="425"/>
      <c r="E20" s="426"/>
      <c r="F20" s="426"/>
      <c r="G20" s="426"/>
      <c r="H20" s="665" t="s">
        <v>127</v>
      </c>
      <c r="I20" s="666"/>
      <c r="J20" s="666"/>
      <c r="K20" s="667"/>
      <c r="L20" s="427"/>
      <c r="N20" s="428"/>
      <c r="O20" s="429" t="s">
        <v>232</v>
      </c>
      <c r="P20" s="430"/>
      <c r="Q20" s="428"/>
      <c r="R20" s="431" t="s">
        <v>233</v>
      </c>
      <c r="S20" s="430"/>
      <c r="T20" s="432"/>
      <c r="U20" s="433"/>
      <c r="V20" s="433"/>
      <c r="W20" s="433"/>
      <c r="X20" s="433"/>
      <c r="Y20" s="427"/>
    </row>
    <row r="21" spans="1:25" ht="13.5" customHeight="1" x14ac:dyDescent="0.25">
      <c r="A21" s="434"/>
      <c r="B21" s="435" t="s">
        <v>130</v>
      </c>
      <c r="C21" s="436" t="s">
        <v>234</v>
      </c>
      <c r="D21" s="437" t="s">
        <v>235</v>
      </c>
      <c r="E21" s="432"/>
      <c r="F21" s="432"/>
      <c r="G21" s="432"/>
      <c r="H21" s="668" t="s">
        <v>236</v>
      </c>
      <c r="I21" s="669" t="s">
        <v>237</v>
      </c>
      <c r="J21" s="669" t="s">
        <v>238</v>
      </c>
      <c r="K21" s="670" t="s">
        <v>239</v>
      </c>
      <c r="L21" s="427"/>
      <c r="N21" s="439" t="s">
        <v>240</v>
      </c>
      <c r="O21" s="440">
        <f>B22</f>
        <v>21147</v>
      </c>
      <c r="P21" s="430"/>
      <c r="Q21" s="439" t="s">
        <v>241</v>
      </c>
      <c r="R21" s="441">
        <f>O32</f>
        <v>21147</v>
      </c>
      <c r="S21" s="430"/>
      <c r="T21" s="432"/>
      <c r="U21" s="438"/>
      <c r="V21" s="438"/>
      <c r="W21" s="438"/>
      <c r="X21" s="438"/>
      <c r="Y21" s="427"/>
    </row>
    <row r="22" spans="1:25" ht="13.5" customHeight="1" x14ac:dyDescent="0.25">
      <c r="A22" s="637" t="s">
        <v>242</v>
      </c>
      <c r="B22" s="450">
        <f>Inputs!C5</f>
        <v>21147</v>
      </c>
      <c r="C22" s="450">
        <f>Inputs!C16</f>
        <v>965</v>
      </c>
      <c r="D22" s="442">
        <f>B22/B26</f>
        <v>0.86688524590163929</v>
      </c>
      <c r="E22" s="432"/>
      <c r="F22" s="432"/>
      <c r="G22" s="432"/>
      <c r="H22" s="671" t="s">
        <v>112</v>
      </c>
      <c r="I22" s="672" t="s">
        <v>130</v>
      </c>
      <c r="J22" s="673"/>
      <c r="K22" s="674"/>
      <c r="L22" s="427"/>
      <c r="N22" s="445" t="s">
        <v>243</v>
      </c>
      <c r="O22" s="446">
        <f>C22</f>
        <v>965</v>
      </c>
      <c r="P22" s="430"/>
      <c r="Q22" s="445" t="s">
        <v>244</v>
      </c>
      <c r="R22" s="447">
        <f>SUM(O34:S34)</f>
        <v>3666.2355669882609</v>
      </c>
      <c r="S22" s="430"/>
      <c r="T22" s="432"/>
      <c r="U22" s="448"/>
      <c r="V22" s="443"/>
      <c r="W22" s="444"/>
      <c r="X22" s="449"/>
      <c r="Y22" s="427"/>
    </row>
    <row r="23" spans="1:25" ht="13.5" customHeight="1" x14ac:dyDescent="0.25">
      <c r="A23" s="637" t="s">
        <v>245</v>
      </c>
      <c r="B23" s="450">
        <v>0</v>
      </c>
      <c r="C23" s="450">
        <v>575</v>
      </c>
      <c r="D23" s="442">
        <f>B23/B26</f>
        <v>0</v>
      </c>
      <c r="E23" s="432"/>
      <c r="F23" s="432"/>
      <c r="G23" s="432"/>
      <c r="H23" s="627">
        <f>IFERROR(26900*F36*(100-F36)^0.819*(I36-J36)^2.28,0)</f>
        <v>0</v>
      </c>
      <c r="I23" s="628">
        <f>IFERROR(H23/100*(B36+D36),0)</f>
        <v>0</v>
      </c>
      <c r="J23" s="628">
        <f>B36+D36</f>
        <v>21147</v>
      </c>
      <c r="K23" s="684">
        <f>B36+D36-I23</f>
        <v>21147</v>
      </c>
      <c r="L23" s="427"/>
      <c r="N23" s="445" t="s">
        <v>246</v>
      </c>
      <c r="O23" s="446">
        <f>C24</f>
        <v>660</v>
      </c>
      <c r="P23" s="430"/>
      <c r="Q23" s="445" t="s">
        <v>247</v>
      </c>
      <c r="R23" s="447">
        <f>S40</f>
        <v>24693.378362417825</v>
      </c>
      <c r="S23" s="430"/>
      <c r="T23" s="432"/>
      <c r="U23" s="452"/>
      <c r="V23" s="451"/>
      <c r="W23" s="451"/>
      <c r="X23" s="453"/>
      <c r="Y23" s="427"/>
    </row>
    <row r="24" spans="1:25" ht="13.5" customHeight="1" thickBot="1" x14ac:dyDescent="0.3">
      <c r="A24" s="637" t="s">
        <v>248</v>
      </c>
      <c r="B24" s="450">
        <f>(C22-B28)/(B28-C24)*B22</f>
        <v>3247.2322239031796</v>
      </c>
      <c r="C24" s="759">
        <f>L14</f>
        <v>660</v>
      </c>
      <c r="D24" s="442">
        <f>B24/B26</f>
        <v>0.13311475409836077</v>
      </c>
      <c r="E24" s="454"/>
      <c r="F24" s="432"/>
      <c r="G24" s="432"/>
      <c r="H24" s="627">
        <f>IFERROR(26900*F37*(100-F37)^0.819*(I37-J37)^2.28,0)</f>
        <v>0.37332770478631283</v>
      </c>
      <c r="I24" s="628">
        <f>IFERROR(H24/100*(B37+D37),0)</f>
        <v>91.070427261740861</v>
      </c>
      <c r="J24" s="628">
        <f>B37+D37</f>
        <v>24394.232223903178</v>
      </c>
      <c r="K24" s="684">
        <f>B37+D37-I24</f>
        <v>24303.161796641438</v>
      </c>
      <c r="L24" s="427"/>
      <c r="N24" s="455" t="s">
        <v>249</v>
      </c>
      <c r="O24" s="456">
        <f>B28</f>
        <v>924.4</v>
      </c>
      <c r="P24" s="430"/>
      <c r="Q24" s="455" t="s">
        <v>250</v>
      </c>
      <c r="R24" s="457">
        <f>R23-SUM(R21:R22)</f>
        <v>-119.85720457043499</v>
      </c>
      <c r="S24" s="430"/>
      <c r="T24" s="432"/>
      <c r="U24" s="452"/>
      <c r="V24" s="451"/>
      <c r="W24" s="451"/>
      <c r="X24" s="453"/>
      <c r="Y24" s="427"/>
    </row>
    <row r="25" spans="1:25" ht="13.5" customHeight="1" thickBot="1" x14ac:dyDescent="0.3">
      <c r="A25" s="638"/>
      <c r="B25" s="458"/>
      <c r="C25" s="459"/>
      <c r="D25" s="460"/>
      <c r="E25" s="432"/>
      <c r="F25" s="432"/>
      <c r="G25" s="432"/>
      <c r="H25" s="630">
        <f>IFERROR(26900*F38*(100-F38)^0.819*(I38-J38)^2.28,0)</f>
        <v>0</v>
      </c>
      <c r="I25" s="631">
        <f>IFERROR(H25/100*(B38+D38),0)</f>
        <v>0</v>
      </c>
      <c r="J25" s="631">
        <f>B38+D38</f>
        <v>24303.161796641438</v>
      </c>
      <c r="K25" s="685">
        <f>B38+D38-I25</f>
        <v>24303.161796641438</v>
      </c>
      <c r="L25" s="427"/>
      <c r="N25" s="430"/>
      <c r="O25" s="430"/>
      <c r="P25" s="430"/>
      <c r="Q25" s="430"/>
      <c r="R25" s="430"/>
      <c r="S25" s="430"/>
      <c r="T25" s="432"/>
      <c r="U25" s="452"/>
      <c r="V25" s="451"/>
      <c r="W25" s="451"/>
      <c r="X25" s="453"/>
      <c r="Y25" s="427"/>
    </row>
    <row r="26" spans="1:25" ht="13.5" customHeight="1" thickBot="1" x14ac:dyDescent="0.3">
      <c r="A26" s="637" t="s">
        <v>251</v>
      </c>
      <c r="B26" s="461">
        <f>SUM(B22:B25)</f>
        <v>24394.232223903178</v>
      </c>
      <c r="C26" s="432"/>
      <c r="D26" s="462">
        <f>SUM(D22:D25)</f>
        <v>1</v>
      </c>
      <c r="E26" s="432"/>
      <c r="F26" s="432"/>
      <c r="G26" s="432"/>
      <c r="H26" s="633">
        <f>IF(I26=0,"",(I26/K26))</f>
        <v>3.7472666323739938E-3</v>
      </c>
      <c r="I26" s="675">
        <f>(SUM(I23:I25))*1</f>
        <v>91.070427261740861</v>
      </c>
      <c r="J26" s="676"/>
      <c r="K26" s="683">
        <f>K25</f>
        <v>24303.161796641438</v>
      </c>
      <c r="L26" s="427"/>
      <c r="N26" s="464" t="s">
        <v>252</v>
      </c>
      <c r="O26" s="465"/>
      <c r="P26" s="465"/>
      <c r="Q26" s="465"/>
      <c r="R26" s="465"/>
      <c r="S26" s="466"/>
      <c r="T26" s="432"/>
      <c r="U26" s="452"/>
      <c r="V26" s="451"/>
      <c r="W26" s="463"/>
      <c r="X26" s="467"/>
      <c r="Y26" s="427"/>
    </row>
    <row r="27" spans="1:25" ht="13.5" customHeight="1" thickBot="1" x14ac:dyDescent="0.3">
      <c r="A27" s="637" t="s">
        <v>253</v>
      </c>
      <c r="B27" s="639">
        <f>SUMPRODUCT(B22:B25,C22:C25)/SUM(B22:B25)</f>
        <v>924.4</v>
      </c>
      <c r="C27" s="432"/>
      <c r="D27" s="468"/>
      <c r="E27" s="432"/>
      <c r="F27" s="432"/>
      <c r="G27" s="432"/>
      <c r="H27" s="45"/>
      <c r="I27" s="45"/>
      <c r="J27" s="77" t="s">
        <v>251</v>
      </c>
      <c r="K27" s="684">
        <f>B26</f>
        <v>24394.232223903178</v>
      </c>
      <c r="L27" s="427"/>
      <c r="N27" s="470"/>
      <c r="O27" s="471" t="s">
        <v>254</v>
      </c>
      <c r="P27" s="471" t="s">
        <v>255</v>
      </c>
      <c r="Q27" s="471" t="s">
        <v>256</v>
      </c>
      <c r="R27" s="471" t="s">
        <v>257</v>
      </c>
      <c r="S27" s="472" t="s">
        <v>258</v>
      </c>
      <c r="T27" s="432"/>
      <c r="U27" s="449"/>
      <c r="V27" s="449"/>
      <c r="W27" s="469"/>
      <c r="X27" s="453"/>
      <c r="Y27" s="427"/>
    </row>
    <row r="28" spans="1:25" ht="13.5" customHeight="1" x14ac:dyDescent="0.25">
      <c r="A28" s="637" t="s">
        <v>249</v>
      </c>
      <c r="B28" s="642">
        <f>Inputs!C18</f>
        <v>924.4</v>
      </c>
      <c r="C28" s="432"/>
      <c r="D28" s="468"/>
      <c r="E28" s="432"/>
      <c r="F28" s="432"/>
      <c r="G28" s="432"/>
      <c r="H28" s="45"/>
      <c r="I28" s="45"/>
      <c r="J28" s="77" t="s">
        <v>259</v>
      </c>
      <c r="K28" s="684">
        <f>I26*-1</f>
        <v>-91.070427261740861</v>
      </c>
      <c r="L28" s="427"/>
      <c r="N28" s="439" t="s">
        <v>249</v>
      </c>
      <c r="O28" s="473">
        <f>$B$28</f>
        <v>924.4</v>
      </c>
      <c r="P28" s="473">
        <f t="shared" ref="P28:S29" si="0">O28</f>
        <v>924.4</v>
      </c>
      <c r="Q28" s="473">
        <f t="shared" si="0"/>
        <v>924.4</v>
      </c>
      <c r="R28" s="473">
        <f t="shared" si="0"/>
        <v>924.4</v>
      </c>
      <c r="S28" s="474">
        <f t="shared" si="0"/>
        <v>924.4</v>
      </c>
      <c r="T28" s="432"/>
      <c r="U28" s="449"/>
      <c r="V28" s="449"/>
      <c r="W28" s="469"/>
      <c r="X28" s="453"/>
      <c r="Y28" s="427"/>
    </row>
    <row r="29" spans="1:25" ht="13.5" customHeight="1" x14ac:dyDescent="0.25">
      <c r="A29" s="641"/>
      <c r="B29" s="640">
        <f>D49</f>
        <v>924.4</v>
      </c>
      <c r="C29" s="432"/>
      <c r="D29" s="432"/>
      <c r="E29" s="432"/>
      <c r="F29" s="432"/>
      <c r="G29" s="432"/>
      <c r="H29" s="45"/>
      <c r="I29" s="45"/>
      <c r="J29" s="77" t="s">
        <v>260</v>
      </c>
      <c r="K29" s="686">
        <f>K27+K28</f>
        <v>24303.161796641438</v>
      </c>
      <c r="L29" s="427"/>
      <c r="N29" s="445" t="s">
        <v>261</v>
      </c>
      <c r="O29" s="475">
        <f>$C$24</f>
        <v>660</v>
      </c>
      <c r="P29" s="475">
        <f t="shared" si="0"/>
        <v>660</v>
      </c>
      <c r="Q29" s="475">
        <f t="shared" si="0"/>
        <v>660</v>
      </c>
      <c r="R29" s="475">
        <f t="shared" si="0"/>
        <v>660</v>
      </c>
      <c r="S29" s="476">
        <f t="shared" si="0"/>
        <v>660</v>
      </c>
      <c r="T29" s="432"/>
      <c r="U29" s="449"/>
      <c r="V29" s="449"/>
      <c r="W29" s="469"/>
      <c r="X29" s="453"/>
      <c r="Y29" s="427"/>
    </row>
    <row r="30" spans="1:25" ht="15" x14ac:dyDescent="0.25">
      <c r="A30" s="477"/>
      <c r="B30" s="432"/>
      <c r="C30" s="432"/>
      <c r="D30" s="432"/>
      <c r="E30" s="432"/>
      <c r="F30" s="432"/>
      <c r="G30" s="432"/>
      <c r="H30" s="45"/>
      <c r="I30" s="45"/>
      <c r="J30" s="77" t="s">
        <v>262</v>
      </c>
      <c r="K30" s="687">
        <f>I26/B26</f>
        <v>3.7332770478631285E-3</v>
      </c>
      <c r="L30" s="427"/>
      <c r="N30" s="445" t="s">
        <v>180</v>
      </c>
      <c r="O30" s="475">
        <f>$C$22</f>
        <v>965</v>
      </c>
      <c r="P30" s="475">
        <f>O41</f>
        <v>928.48481136905878</v>
      </c>
      <c r="Q30" s="475">
        <f>P41</f>
        <v>924.8214699021313</v>
      </c>
      <c r="R30" s="475">
        <f>Q41</f>
        <v>924.4435860586575</v>
      </c>
      <c r="S30" s="476">
        <f>R41</f>
        <v>924.4045084686984</v>
      </c>
      <c r="T30" s="432"/>
      <c r="U30" s="449"/>
      <c r="V30" s="449"/>
      <c r="W30" s="469"/>
      <c r="X30" s="478"/>
      <c r="Y30" s="427"/>
    </row>
    <row r="31" spans="1:25" ht="15" x14ac:dyDescent="0.25">
      <c r="A31" s="477" t="s">
        <v>377</v>
      </c>
      <c r="B31" s="432"/>
      <c r="C31" s="432"/>
      <c r="D31" s="432"/>
      <c r="E31" s="432"/>
      <c r="F31" s="432"/>
      <c r="G31" s="432"/>
      <c r="H31" s="449"/>
      <c r="L31" s="427"/>
      <c r="N31" s="445"/>
      <c r="O31" s="479"/>
      <c r="P31" s="479"/>
      <c r="Q31" s="479"/>
      <c r="R31" s="479"/>
      <c r="S31" s="480"/>
      <c r="T31" s="432"/>
      <c r="U31" s="449"/>
      <c r="Y31" s="427"/>
    </row>
    <row r="32" spans="1:25" ht="18" customHeight="1" x14ac:dyDescent="0.25">
      <c r="A32" s="481" t="s">
        <v>263</v>
      </c>
      <c r="B32" s="482"/>
      <c r="C32" s="482"/>
      <c r="D32" s="482"/>
      <c r="E32" s="482"/>
      <c r="F32" s="482"/>
      <c r="G32" s="482"/>
      <c r="H32" s="482"/>
      <c r="I32" s="482"/>
      <c r="J32" s="482"/>
      <c r="L32" s="427"/>
      <c r="N32" s="445" t="s">
        <v>264</v>
      </c>
      <c r="O32" s="483">
        <f>$B$22</f>
        <v>21147</v>
      </c>
      <c r="P32" s="483">
        <f>O40</f>
        <v>24286.911311479489</v>
      </c>
      <c r="Q32" s="483">
        <f>P40</f>
        <v>24650.889302461695</v>
      </c>
      <c r="R32" s="483">
        <f>Q40</f>
        <v>24689.020236618424</v>
      </c>
      <c r="S32" s="484">
        <f>R40</f>
        <v>24692.969763181431</v>
      </c>
      <c r="T32" s="482"/>
      <c r="U32" s="432"/>
      <c r="V32" s="432"/>
      <c r="W32" s="432"/>
      <c r="Y32" s="427"/>
    </row>
    <row r="33" spans="1:25" ht="15" x14ac:dyDescent="0.25">
      <c r="A33" s="485"/>
      <c r="B33" s="820" t="s">
        <v>265</v>
      </c>
      <c r="C33" s="821"/>
      <c r="D33" s="820" t="s">
        <v>266</v>
      </c>
      <c r="E33" s="821"/>
      <c r="F33" s="486"/>
      <c r="G33" s="486"/>
      <c r="H33" s="482"/>
      <c r="I33" s="482"/>
      <c r="J33" s="482"/>
      <c r="K33" s="482"/>
      <c r="L33" s="427"/>
      <c r="N33" s="445" t="s">
        <v>267</v>
      </c>
      <c r="O33" s="487">
        <f>O32*O30</f>
        <v>20406855</v>
      </c>
      <c r="P33" s="487">
        <f>P32*P30</f>
        <v>22550028.267776094</v>
      </c>
      <c r="Q33" s="487">
        <f>Q32*Q30</f>
        <v>22797671.679097351</v>
      </c>
      <c r="R33" s="487">
        <f>R32*R30</f>
        <v>22823606.403814301</v>
      </c>
      <c r="S33" s="488">
        <f>S32*S30</f>
        <v>22826292.576566163</v>
      </c>
      <c r="T33" s="486"/>
      <c r="U33" s="432"/>
      <c r="V33" s="432"/>
      <c r="W33" s="432"/>
      <c r="X33" s="432"/>
      <c r="Y33" s="427"/>
    </row>
    <row r="34" spans="1:25" ht="58.5" customHeight="1" x14ac:dyDescent="0.25">
      <c r="A34" s="489"/>
      <c r="B34" s="490" t="s">
        <v>268</v>
      </c>
      <c r="C34" s="490" t="s">
        <v>269</v>
      </c>
      <c r="D34" s="490" t="s">
        <v>270</v>
      </c>
      <c r="E34" s="490" t="s">
        <v>269</v>
      </c>
      <c r="F34" s="491" t="s">
        <v>271</v>
      </c>
      <c r="G34" s="491" t="s">
        <v>272</v>
      </c>
      <c r="H34" s="492" t="s">
        <v>273</v>
      </c>
      <c r="I34" s="493" t="s">
        <v>274</v>
      </c>
      <c r="J34" s="493" t="s">
        <v>275</v>
      </c>
      <c r="K34" s="482"/>
      <c r="L34" s="427"/>
      <c r="N34" s="445" t="s">
        <v>276</v>
      </c>
      <c r="O34" s="494">
        <f>(O28*O32-O30*O32)/(O29-O28)</f>
        <v>3247.2322239031746</v>
      </c>
      <c r="P34" s="494">
        <f>(P28*P32-P30*P32)/(P29-P28)</f>
        <v>375.21728988069026</v>
      </c>
      <c r="Q34" s="494">
        <f>(Q28*Q32-Q30*Q32)/(Q29-Q28)</f>
        <v>39.295037449922262</v>
      </c>
      <c r="R34" s="494">
        <f>(R28*R32-R30*R32)/(R29-R28)</f>
        <v>4.0699587149458196</v>
      </c>
      <c r="S34" s="495">
        <f>(S28*S32-S30*S32)/(S29-S28)</f>
        <v>0.42105703952802565</v>
      </c>
      <c r="T34" s="496"/>
      <c r="U34" s="497"/>
      <c r="V34" s="498"/>
      <c r="W34" s="498"/>
      <c r="X34" s="432"/>
      <c r="Y34" s="427"/>
    </row>
    <row r="35" spans="1:25" ht="15" x14ac:dyDescent="0.25">
      <c r="A35" s="499"/>
      <c r="B35" s="500" t="s">
        <v>130</v>
      </c>
      <c r="C35" s="501" t="s">
        <v>277</v>
      </c>
      <c r="D35" s="500" t="s">
        <v>130</v>
      </c>
      <c r="E35" s="501" t="s">
        <v>277</v>
      </c>
      <c r="F35" s="502" t="s">
        <v>112</v>
      </c>
      <c r="G35" s="502" t="s">
        <v>112</v>
      </c>
      <c r="H35" s="503" t="s">
        <v>112</v>
      </c>
      <c r="I35" s="503"/>
      <c r="J35" s="504"/>
      <c r="K35" s="482"/>
      <c r="L35" s="427"/>
      <c r="N35" s="445" t="s">
        <v>278</v>
      </c>
      <c r="O35" s="483">
        <f>O34*O29</f>
        <v>2143173.2677760953</v>
      </c>
      <c r="P35" s="483">
        <f>P34*P29</f>
        <v>247643.41132125558</v>
      </c>
      <c r="Q35" s="483">
        <f>Q34*Q29</f>
        <v>25934.724716948695</v>
      </c>
      <c r="R35" s="483">
        <f>R34*R29</f>
        <v>2686.172751864241</v>
      </c>
      <c r="S35" s="484">
        <f>S34*S29</f>
        <v>277.89764608849691</v>
      </c>
      <c r="T35" s="502"/>
      <c r="U35" s="505"/>
      <c r="V35" s="505"/>
      <c r="W35" s="505"/>
      <c r="X35" s="432"/>
      <c r="Y35" s="427"/>
    </row>
    <row r="36" spans="1:25" ht="15" x14ac:dyDescent="0.25">
      <c r="A36" s="506" t="s">
        <v>245</v>
      </c>
      <c r="B36" s="507">
        <f>B23</f>
        <v>0</v>
      </c>
      <c r="C36" s="508">
        <f>C23</f>
        <v>575</v>
      </c>
      <c r="D36" s="507">
        <f>B22</f>
        <v>21147</v>
      </c>
      <c r="E36" s="508">
        <f>C22</f>
        <v>965</v>
      </c>
      <c r="F36" s="509">
        <f>IFERROR(B36/(B36+D36)*100,"")</f>
        <v>0</v>
      </c>
      <c r="G36" s="509">
        <f>IFERROR(D36/(B36+D36)*100,"")</f>
        <v>100</v>
      </c>
      <c r="H36" s="510">
        <f>F36+G36</f>
        <v>100</v>
      </c>
      <c r="I36" s="511">
        <f>IFERROR(1/C36,"")</f>
        <v>1.7391304347826088E-3</v>
      </c>
      <c r="J36" s="512">
        <f>IFERROR(1/E36,"")</f>
        <v>1.0362694300518134E-3</v>
      </c>
      <c r="K36" s="482"/>
      <c r="L36" s="427"/>
      <c r="N36" s="445"/>
      <c r="O36" s="479"/>
      <c r="P36" s="479"/>
      <c r="Q36" s="479"/>
      <c r="R36" s="479"/>
      <c r="S36" s="480"/>
      <c r="T36" s="509"/>
      <c r="U36" s="513"/>
      <c r="V36" s="514"/>
      <c r="W36" s="514"/>
      <c r="X36" s="432"/>
      <c r="Y36" s="427"/>
    </row>
    <row r="37" spans="1:25" ht="15" x14ac:dyDescent="0.25">
      <c r="A37" s="506" t="s">
        <v>248</v>
      </c>
      <c r="B37" s="507">
        <f>B24</f>
        <v>3247.2322239031796</v>
      </c>
      <c r="C37" s="508">
        <f>C24</f>
        <v>660</v>
      </c>
      <c r="D37" s="507">
        <f>K23</f>
        <v>21147</v>
      </c>
      <c r="E37" s="508">
        <f>E36</f>
        <v>965</v>
      </c>
      <c r="F37" s="509">
        <f>IFERROR(B37/(B37+D37)*100,"")</f>
        <v>13.311475409836076</v>
      </c>
      <c r="G37" s="509">
        <f>IFERROR(D37/(B37+D37)*100,"")</f>
        <v>86.688524590163922</v>
      </c>
      <c r="H37" s="510">
        <f t="shared" ref="H37:H38" si="1">F37+G37</f>
        <v>100</v>
      </c>
      <c r="I37" s="511">
        <f>IFERROR(1/C37,"")</f>
        <v>1.5151515151515152E-3</v>
      </c>
      <c r="J37" s="512">
        <f>IFERROR(1/E37,"")</f>
        <v>1.0362694300518134E-3</v>
      </c>
      <c r="K37" s="482"/>
      <c r="L37" s="427"/>
      <c r="N37" s="445" t="s">
        <v>279</v>
      </c>
      <c r="O37" s="515">
        <f>O34/(O32+O34)</f>
        <v>0.13311475409836057</v>
      </c>
      <c r="P37" s="515">
        <f>P34/(P32+P34)</f>
        <v>1.5214310814192902E-2</v>
      </c>
      <c r="Q37" s="515">
        <f>Q34/(Q32+Q34)</f>
        <v>1.5915246686271976E-3</v>
      </c>
      <c r="R37" s="515">
        <f>R34/(R32+R34)</f>
        <v>1.6482176522867849E-4</v>
      </c>
      <c r="S37" s="516">
        <f>S34/(S32+S34)</f>
        <v>1.7051406288974693E-5</v>
      </c>
      <c r="T37" s="509"/>
      <c r="U37" s="513"/>
      <c r="V37" s="514"/>
      <c r="W37" s="514"/>
      <c r="X37" s="432"/>
      <c r="Y37" s="427"/>
    </row>
    <row r="38" spans="1:25" ht="15" x14ac:dyDescent="0.25">
      <c r="A38" s="517" t="s">
        <v>280</v>
      </c>
      <c r="B38" s="518">
        <f>K24</f>
        <v>24303.161796641438</v>
      </c>
      <c r="C38" s="519">
        <f>E37</f>
        <v>965</v>
      </c>
      <c r="D38" s="518">
        <f>B25</f>
        <v>0</v>
      </c>
      <c r="E38" s="519">
        <f>C25</f>
        <v>0</v>
      </c>
      <c r="F38" s="509">
        <f>IFERROR(B38/(B38+D38)*100,"")</f>
        <v>100</v>
      </c>
      <c r="G38" s="509">
        <f>IFERROR(D38/(B38+D38)*100,"")</f>
        <v>0</v>
      </c>
      <c r="H38" s="510">
        <f t="shared" si="1"/>
        <v>100</v>
      </c>
      <c r="I38" s="511">
        <f>IFERROR(1/C38,"")</f>
        <v>1.0362694300518134E-3</v>
      </c>
      <c r="J38" s="512" t="str">
        <f>IFERROR(1/E38,"")</f>
        <v/>
      </c>
      <c r="K38" s="482"/>
      <c r="L38" s="427"/>
      <c r="N38" s="445" t="s">
        <v>281</v>
      </c>
      <c r="O38" s="520">
        <f>31700*O37*(100-O37*100)^0.819*(1/O29-1/O30)^2.28</f>
        <v>4.3994380080766213E-3</v>
      </c>
      <c r="P38" s="520">
        <f t="shared" ref="P38:S38" si="2">31700*P37*(100-P37*100)^0.819*(1/P29-1/P30)^2.28</f>
        <v>4.5573109605246694E-4</v>
      </c>
      <c r="Q38" s="520">
        <f t="shared" si="2"/>
        <v>4.7148424538645405E-5</v>
      </c>
      <c r="R38" s="520">
        <f t="shared" si="2"/>
        <v>4.8771600066182117E-6</v>
      </c>
      <c r="S38" s="521">
        <f t="shared" si="2"/>
        <v>5.0449949244939847E-7</v>
      </c>
      <c r="T38" s="509"/>
      <c r="U38" s="513"/>
      <c r="V38" s="514"/>
      <c r="W38" s="514"/>
      <c r="X38" s="432"/>
      <c r="Y38" s="427"/>
    </row>
    <row r="39" spans="1:25" ht="15" x14ac:dyDescent="0.25">
      <c r="A39" s="522" t="s">
        <v>282</v>
      </c>
      <c r="B39" s="486" t="s">
        <v>283</v>
      </c>
      <c r="C39" s="486"/>
      <c r="D39" s="486"/>
      <c r="E39" s="486"/>
      <c r="F39" s="486"/>
      <c r="G39" s="486"/>
      <c r="H39" s="482"/>
      <c r="I39" s="482"/>
      <c r="J39" s="523"/>
      <c r="K39" s="482"/>
      <c r="L39" s="427"/>
      <c r="N39" s="445" t="s">
        <v>250</v>
      </c>
      <c r="O39" s="524">
        <f>-O38*(O32+O34)</f>
        <v>-107.3209124236871</v>
      </c>
      <c r="P39" s="524">
        <f>-P38*(P32+P34)</f>
        <v>-11.239298898484767</v>
      </c>
      <c r="Q39" s="524">
        <f>-Q38*(Q32+Q34)</f>
        <v>-1.1641032931955675</v>
      </c>
      <c r="R39" s="524">
        <f>-R38*(R32+R34)</f>
        <v>-0.1204321519404962</v>
      </c>
      <c r="S39" s="525">
        <f>-S38*(S32+S34)</f>
        <v>-1.245780313565611E-2</v>
      </c>
      <c r="T39" s="486"/>
      <c r="U39" s="432"/>
      <c r="V39" s="432"/>
      <c r="W39" s="432"/>
      <c r="X39" s="432"/>
      <c r="Y39" s="427"/>
    </row>
    <row r="40" spans="1:25" ht="15" x14ac:dyDescent="0.25">
      <c r="A40" s="522" t="s">
        <v>284</v>
      </c>
      <c r="B40" s="486" t="s">
        <v>285</v>
      </c>
      <c r="C40" s="486"/>
      <c r="D40" s="486"/>
      <c r="E40" s="486"/>
      <c r="F40" s="486"/>
      <c r="G40" s="486"/>
      <c r="H40" s="482"/>
      <c r="I40" s="482"/>
      <c r="J40" s="523"/>
      <c r="K40" s="482"/>
      <c r="L40" s="427"/>
      <c r="N40" s="445" t="s">
        <v>286</v>
      </c>
      <c r="O40" s="524">
        <f>O32+O34+O39</f>
        <v>24286.911311479489</v>
      </c>
      <c r="P40" s="524">
        <f>P32+P34+P39</f>
        <v>24650.889302461695</v>
      </c>
      <c r="Q40" s="524">
        <f>Q32+Q34+Q39</f>
        <v>24689.020236618424</v>
      </c>
      <c r="R40" s="524">
        <f>R32+R34+R39</f>
        <v>24692.969763181431</v>
      </c>
      <c r="S40" s="525">
        <f>S32+S34+S39</f>
        <v>24693.378362417825</v>
      </c>
      <c r="T40" s="486"/>
      <c r="U40" s="432"/>
      <c r="V40" s="432"/>
      <c r="W40" s="432"/>
      <c r="X40" s="432"/>
      <c r="Y40" s="427"/>
    </row>
    <row r="41" spans="1:25" ht="15.75" thickBot="1" x14ac:dyDescent="0.3">
      <c r="A41" s="522" t="s">
        <v>287</v>
      </c>
      <c r="B41" s="486" t="s">
        <v>288</v>
      </c>
      <c r="C41" s="486"/>
      <c r="D41" s="486"/>
      <c r="E41" s="486"/>
      <c r="F41" s="486"/>
      <c r="G41" s="486"/>
      <c r="H41" s="482"/>
      <c r="I41" s="482"/>
      <c r="J41" s="523"/>
      <c r="K41" s="482"/>
      <c r="L41" s="427"/>
      <c r="N41" s="455" t="s">
        <v>289</v>
      </c>
      <c r="O41" s="526">
        <f>(O33+O35)/O40</f>
        <v>928.48481136905878</v>
      </c>
      <c r="P41" s="526">
        <f>(P33+P35)/P40</f>
        <v>924.8214699021313</v>
      </c>
      <c r="Q41" s="526">
        <f>(Q33+Q35)/Q40</f>
        <v>924.4435860586575</v>
      </c>
      <c r="R41" s="526">
        <f>(R33+R35)/R40</f>
        <v>924.4045084686984</v>
      </c>
      <c r="S41" s="527">
        <f>(S33+S35)/S40</f>
        <v>924.40046635956594</v>
      </c>
      <c r="T41" s="486"/>
      <c r="U41" s="482"/>
      <c r="V41" s="482"/>
      <c r="W41" s="482"/>
      <c r="X41" s="482"/>
      <c r="Y41" s="427"/>
    </row>
    <row r="42" spans="1:25" x14ac:dyDescent="0.2">
      <c r="A42" s="528" t="s">
        <v>290</v>
      </c>
      <c r="B42" s="529" t="s">
        <v>291</v>
      </c>
      <c r="C42" s="529"/>
      <c r="D42" s="529"/>
      <c r="E42" s="529"/>
      <c r="F42" s="529"/>
      <c r="G42" s="529"/>
      <c r="H42" s="530"/>
      <c r="I42" s="530"/>
      <c r="J42" s="531"/>
      <c r="K42" s="530"/>
      <c r="L42" s="532"/>
      <c r="N42" s="528"/>
      <c r="O42" s="529"/>
      <c r="P42" s="529"/>
      <c r="Q42" s="529"/>
      <c r="R42" s="529"/>
      <c r="S42" s="529"/>
      <c r="T42" s="529"/>
      <c r="U42" s="530"/>
      <c r="V42" s="530"/>
      <c r="W42" s="530"/>
      <c r="X42" s="530"/>
      <c r="Y42" s="532"/>
    </row>
    <row r="43" spans="1:25" x14ac:dyDescent="0.2">
      <c r="A43" s="533"/>
      <c r="L43" s="534"/>
      <c r="N43" s="533"/>
      <c r="Y43" s="534"/>
    </row>
    <row r="44" spans="1:25" ht="23.25" x14ac:dyDescent="0.35">
      <c r="A44" s="535" t="s">
        <v>372</v>
      </c>
      <c r="H44" s="536"/>
      <c r="L44" s="534"/>
      <c r="N44" s="535" t="s">
        <v>292</v>
      </c>
      <c r="U44" s="536"/>
      <c r="Y44" s="534"/>
    </row>
    <row r="45" spans="1:25" ht="15" x14ac:dyDescent="0.25">
      <c r="A45" s="533"/>
      <c r="B45" s="537"/>
      <c r="C45" s="538" t="s">
        <v>130</v>
      </c>
      <c r="D45" s="538" t="s">
        <v>277</v>
      </c>
      <c r="E45" s="539" t="s">
        <v>293</v>
      </c>
      <c r="F45" s="539" t="s">
        <v>235</v>
      </c>
      <c r="G45" s="400"/>
      <c r="H45" s="540"/>
      <c r="I45" s="400"/>
      <c r="L45" s="534"/>
      <c r="N45" s="533"/>
      <c r="O45" s="537"/>
      <c r="P45" s="538" t="s">
        <v>130</v>
      </c>
      <c r="Q45" s="538" t="s">
        <v>277</v>
      </c>
      <c r="R45" s="539" t="s">
        <v>293</v>
      </c>
      <c r="S45" s="539" t="s">
        <v>235</v>
      </c>
      <c r="T45" s="400"/>
      <c r="U45" s="540"/>
      <c r="V45" s="400"/>
      <c r="Y45" s="534"/>
    </row>
    <row r="46" spans="1:25" ht="18" x14ac:dyDescent="0.25">
      <c r="A46" s="541"/>
      <c r="B46" s="542" t="s">
        <v>294</v>
      </c>
      <c r="C46" s="543">
        <f>$B$22</f>
        <v>21147</v>
      </c>
      <c r="D46" s="543">
        <f>$C$22</f>
        <v>965</v>
      </c>
      <c r="E46" s="592"/>
      <c r="F46" s="592">
        <f>C46/C49</f>
        <v>0.86688524590163929</v>
      </c>
      <c r="G46" s="400"/>
      <c r="H46" s="536"/>
      <c r="I46" s="400"/>
      <c r="L46" s="534"/>
      <c r="N46" s="541"/>
      <c r="O46" s="542" t="s">
        <v>294</v>
      </c>
      <c r="P46" s="543">
        <f>$B$22</f>
        <v>21147</v>
      </c>
      <c r="Q46" s="543">
        <f>$C$22</f>
        <v>965</v>
      </c>
      <c r="R46" s="544"/>
      <c r="S46" s="544">
        <f>P46/P49</f>
        <v>0.85224677543198557</v>
      </c>
      <c r="T46" s="400"/>
      <c r="U46" s="545"/>
      <c r="V46" s="400"/>
      <c r="Y46" s="534"/>
    </row>
    <row r="47" spans="1:25" ht="18" x14ac:dyDescent="0.25">
      <c r="A47" s="546"/>
      <c r="B47" s="542" t="s">
        <v>189</v>
      </c>
      <c r="C47" s="543">
        <f>$B$24</f>
        <v>3247.2322239031796</v>
      </c>
      <c r="D47" s="551">
        <f>C24</f>
        <v>660</v>
      </c>
      <c r="E47" s="592">
        <f>C47/C46</f>
        <v>0.1535552193645992</v>
      </c>
      <c r="F47" s="592">
        <f>C47/C49</f>
        <v>0.13311475409836077</v>
      </c>
      <c r="G47" s="400"/>
      <c r="H47" s="540"/>
      <c r="I47" s="400"/>
      <c r="L47" s="534"/>
      <c r="N47" s="546"/>
      <c r="O47" s="542" t="s">
        <v>189</v>
      </c>
      <c r="P47" s="549">
        <f>$R$22</f>
        <v>3666.2355669882609</v>
      </c>
      <c r="Q47" s="547">
        <f>$O$29</f>
        <v>660</v>
      </c>
      <c r="R47" s="544">
        <f>P47/P46</f>
        <v>0.17336906260879845</v>
      </c>
      <c r="S47" s="544">
        <f>P47/P49</f>
        <v>0.14775322456801449</v>
      </c>
      <c r="T47" s="400"/>
      <c r="U47" s="548"/>
      <c r="V47" s="400"/>
      <c r="Y47" s="534"/>
    </row>
    <row r="48" spans="1:25" ht="18" x14ac:dyDescent="0.25">
      <c r="A48" s="550"/>
      <c r="B48" s="542" t="s">
        <v>295</v>
      </c>
      <c r="C48" s="543">
        <f>$B$23</f>
        <v>0</v>
      </c>
      <c r="D48" s="551">
        <f>$C$23</f>
        <v>575</v>
      </c>
      <c r="E48" s="592">
        <f>C48/C46</f>
        <v>0</v>
      </c>
      <c r="F48" s="592">
        <f>C48/C49</f>
        <v>0</v>
      </c>
      <c r="G48" s="400"/>
      <c r="H48" s="540"/>
      <c r="I48" s="400"/>
      <c r="L48" s="534"/>
      <c r="N48" s="550"/>
      <c r="O48" s="542" t="s">
        <v>295</v>
      </c>
      <c r="P48" s="549">
        <v>0</v>
      </c>
      <c r="Q48" s="551">
        <f>$C$23</f>
        <v>575</v>
      </c>
      <c r="R48" s="544">
        <f>P48/P46</f>
        <v>0</v>
      </c>
      <c r="S48" s="544">
        <f>P48/P49</f>
        <v>0</v>
      </c>
      <c r="T48" s="400"/>
      <c r="U48" s="548"/>
      <c r="V48" s="400"/>
      <c r="Y48" s="534"/>
    </row>
    <row r="49" spans="1:25" ht="18" x14ac:dyDescent="0.25">
      <c r="A49" s="550"/>
      <c r="B49" s="542" t="s">
        <v>296</v>
      </c>
      <c r="C49" s="552">
        <f>SUM(C46:C48)</f>
        <v>24394.232223903178</v>
      </c>
      <c r="D49" s="688">
        <f>SUMPRODUCT(C46:C48,D46:D48)/SUM(C46:C48)</f>
        <v>924.4</v>
      </c>
      <c r="E49" s="592"/>
      <c r="F49" s="592">
        <f>SUM(F46:F48)</f>
        <v>1</v>
      </c>
      <c r="G49" s="400"/>
      <c r="H49" s="540"/>
      <c r="I49" s="400"/>
      <c r="L49" s="534"/>
      <c r="N49" s="550"/>
      <c r="O49" s="542" t="s">
        <v>296</v>
      </c>
      <c r="P49" s="552">
        <f>SUM(P46:P48)</f>
        <v>24813.23556698826</v>
      </c>
      <c r="Q49" s="553">
        <f>SUMPRODUCT(P46:P48,Q46:Q48)/SUM(P46:P48)</f>
        <v>919.93526650675562</v>
      </c>
      <c r="R49" s="544"/>
      <c r="S49" s="544">
        <f>SUM(S46:S48)</f>
        <v>1</v>
      </c>
      <c r="T49" s="400"/>
      <c r="U49" s="540"/>
      <c r="V49" s="400"/>
      <c r="Y49" s="534"/>
    </row>
    <row r="50" spans="1:25" ht="18" x14ac:dyDescent="0.25">
      <c r="A50" s="550"/>
      <c r="B50" s="542" t="s">
        <v>297</v>
      </c>
      <c r="C50" s="554">
        <f>I26</f>
        <v>91.070427261740861</v>
      </c>
      <c r="D50" s="555"/>
      <c r="E50" s="400"/>
      <c r="F50" s="400"/>
      <c r="G50" s="400"/>
      <c r="H50" s="540"/>
      <c r="I50" s="400"/>
      <c r="L50" s="534"/>
      <c r="N50" s="550"/>
      <c r="O50" s="542" t="s">
        <v>297</v>
      </c>
      <c r="P50" s="556">
        <f>-R24</f>
        <v>119.85720457043499</v>
      </c>
      <c r="Q50" s="555"/>
      <c r="R50" s="400"/>
      <c r="S50" s="400"/>
      <c r="T50" s="400"/>
      <c r="U50" s="540"/>
      <c r="V50" s="400"/>
      <c r="Y50" s="534"/>
    </row>
    <row r="51" spans="1:25" ht="18" x14ac:dyDescent="0.25">
      <c r="A51" s="550"/>
      <c r="B51" s="542" t="s">
        <v>298</v>
      </c>
      <c r="C51" s="552">
        <f>C49-C50</f>
        <v>24303.161796641438</v>
      </c>
      <c r="D51" s="555"/>
      <c r="E51" s="400"/>
      <c r="F51" s="400"/>
      <c r="G51" s="400"/>
      <c r="H51" s="400"/>
      <c r="I51" s="400"/>
      <c r="L51" s="534"/>
      <c r="N51" s="550"/>
      <c r="O51" s="542" t="s">
        <v>298</v>
      </c>
      <c r="P51" s="552">
        <f>P49-P50</f>
        <v>24693.378362417825</v>
      </c>
      <c r="Q51" s="555"/>
      <c r="R51" s="400"/>
      <c r="S51" s="400"/>
      <c r="T51" s="400"/>
      <c r="U51" s="400"/>
      <c r="V51" s="400"/>
      <c r="Y51" s="534"/>
    </row>
    <row r="52" spans="1:25" ht="15" customHeight="1" x14ac:dyDescent="0.2">
      <c r="A52" s="550"/>
      <c r="B52" s="400"/>
      <c r="C52" s="400"/>
      <c r="D52" s="400"/>
      <c r="E52" s="400"/>
      <c r="F52" s="400"/>
      <c r="G52" s="400"/>
      <c r="H52" s="400"/>
      <c r="I52" s="400"/>
      <c r="L52" s="534"/>
      <c r="N52" s="550"/>
      <c r="O52" s="400"/>
      <c r="P52" s="400"/>
      <c r="Q52" s="400"/>
      <c r="R52" s="400"/>
      <c r="S52" s="400"/>
      <c r="T52" s="400"/>
      <c r="U52" s="400"/>
      <c r="V52" s="400"/>
      <c r="Y52" s="534"/>
    </row>
    <row r="53" spans="1:25" ht="15" customHeight="1" x14ac:dyDescent="0.2">
      <c r="A53" s="550"/>
      <c r="B53" s="400"/>
      <c r="C53" s="539" t="s">
        <v>130</v>
      </c>
      <c r="D53" s="539" t="s">
        <v>299</v>
      </c>
      <c r="E53" s="539" t="s">
        <v>300</v>
      </c>
      <c r="F53" s="400"/>
      <c r="G53" s="400"/>
      <c r="H53" s="400"/>
      <c r="I53" s="400"/>
      <c r="L53" s="534"/>
      <c r="N53" s="550"/>
      <c r="O53" s="400"/>
      <c r="P53" s="539" t="s">
        <v>130</v>
      </c>
      <c r="Q53" s="539" t="s">
        <v>299</v>
      </c>
      <c r="R53" s="539" t="s">
        <v>300</v>
      </c>
      <c r="S53" s="400"/>
      <c r="T53" s="400"/>
      <c r="U53" s="400"/>
      <c r="V53" s="400"/>
      <c r="Y53" s="534"/>
    </row>
    <row r="54" spans="1:25" ht="15" customHeight="1" x14ac:dyDescent="0.2">
      <c r="A54" s="550"/>
      <c r="B54" s="398" t="s">
        <v>301</v>
      </c>
      <c r="C54" s="557">
        <f>C51</f>
        <v>24303.161796641438</v>
      </c>
      <c r="D54" s="558">
        <f>E8</f>
        <v>565.73895526375509</v>
      </c>
      <c r="E54" s="401">
        <f>C54*D54</f>
        <v>13749245.364437932</v>
      </c>
      <c r="F54" s="400"/>
      <c r="H54" s="400"/>
      <c r="I54" s="400"/>
      <c r="L54" s="534"/>
      <c r="N54" s="550"/>
      <c r="O54" s="398" t="s">
        <v>301</v>
      </c>
      <c r="P54" s="557">
        <f>P51</f>
        <v>24693.378362417825</v>
      </c>
      <c r="Q54" s="558">
        <f>D54</f>
        <v>565.73895526375509</v>
      </c>
      <c r="R54" s="559">
        <f>P54*Q54</f>
        <v>13970006.076686876</v>
      </c>
      <c r="S54" s="400"/>
      <c r="U54" s="400"/>
      <c r="V54" s="400"/>
      <c r="Y54" s="534"/>
    </row>
    <row r="55" spans="1:25" x14ac:dyDescent="0.2">
      <c r="A55" s="533"/>
      <c r="B55" s="398" t="s">
        <v>302</v>
      </c>
      <c r="C55" s="557">
        <f>C47</f>
        <v>3247.2322239031796</v>
      </c>
      <c r="D55" s="558">
        <f>I15*-1</f>
        <v>-658.30766645899507</v>
      </c>
      <c r="E55" s="560">
        <f>C55*D55</f>
        <v>-2137677.8677681549</v>
      </c>
      <c r="F55" s="400"/>
      <c r="G55" s="400"/>
      <c r="H55" s="400"/>
      <c r="I55" s="400"/>
      <c r="L55" s="534"/>
      <c r="N55" s="533"/>
      <c r="O55" s="398" t="s">
        <v>302</v>
      </c>
      <c r="P55" s="557">
        <f>P47</f>
        <v>3666.2355669882609</v>
      </c>
      <c r="Q55" s="558">
        <f t="shared" ref="Q55:Q61" si="3">D55</f>
        <v>-658.30766645899507</v>
      </c>
      <c r="R55" s="560">
        <f>P55*Q55</f>
        <v>-2413510.9807930128</v>
      </c>
      <c r="S55" s="400"/>
      <c r="T55" s="400"/>
      <c r="U55" s="400"/>
      <c r="V55" s="400"/>
      <c r="Y55" s="534"/>
    </row>
    <row r="56" spans="1:25" x14ac:dyDescent="0.2">
      <c r="A56" s="533"/>
      <c r="B56" s="398" t="s">
        <v>303</v>
      </c>
      <c r="C56" s="557">
        <f>C48</f>
        <v>0</v>
      </c>
      <c r="D56" s="558">
        <v>0</v>
      </c>
      <c r="E56" s="560">
        <f>C56*D56</f>
        <v>0</v>
      </c>
      <c r="F56" s="400"/>
      <c r="G56" s="400"/>
      <c r="H56" s="400"/>
      <c r="I56" s="400"/>
      <c r="J56" s="400"/>
      <c r="L56" s="534"/>
      <c r="N56" s="533"/>
      <c r="O56" s="398" t="s">
        <v>303</v>
      </c>
      <c r="P56" s="557">
        <f>P48</f>
        <v>0</v>
      </c>
      <c r="Q56" s="558">
        <f t="shared" si="3"/>
        <v>0</v>
      </c>
      <c r="R56" s="560">
        <f>P56*Q56</f>
        <v>0</v>
      </c>
      <c r="S56" s="400"/>
      <c r="T56" s="400"/>
      <c r="U56" s="400"/>
      <c r="V56" s="400"/>
      <c r="W56" s="400"/>
      <c r="Y56" s="534"/>
    </row>
    <row r="57" spans="1:25" x14ac:dyDescent="0.2">
      <c r="A57" s="533"/>
      <c r="B57" s="398" t="s">
        <v>304</v>
      </c>
      <c r="C57" s="557">
        <f>C55</f>
        <v>3247.2322239031796</v>
      </c>
      <c r="D57" s="560">
        <f>-(Inputs!C9+Inputs!C12)</f>
        <v>-33.844827586206897</v>
      </c>
      <c r="E57" s="560">
        <f t="shared" ref="E57:E61" si="4">C57*D57</f>
        <v>-109902.01475037831</v>
      </c>
      <c r="F57" s="400"/>
      <c r="G57" s="400"/>
      <c r="H57" s="400"/>
      <c r="I57" s="398"/>
      <c r="J57" s="400"/>
      <c r="L57" s="534"/>
      <c r="N57" s="533"/>
      <c r="O57" s="398" t="s">
        <v>304</v>
      </c>
      <c r="P57" s="557">
        <f>P55</f>
        <v>3666.2355669882609</v>
      </c>
      <c r="Q57" s="558">
        <f t="shared" si="3"/>
        <v>-33.844827586206897</v>
      </c>
      <c r="R57" s="560">
        <f t="shared" ref="R57:R61" si="5">P57*Q57</f>
        <v>-124083.11065513718</v>
      </c>
      <c r="S57" s="400"/>
      <c r="T57" s="400"/>
      <c r="U57" s="400"/>
      <c r="V57" s="398"/>
      <c r="W57" s="400"/>
      <c r="Y57" s="534"/>
    </row>
    <row r="58" spans="1:25" x14ac:dyDescent="0.2">
      <c r="A58" s="533"/>
      <c r="B58" s="398" t="s">
        <v>305</v>
      </c>
      <c r="C58" s="557">
        <f>C51</f>
        <v>24303.161796641438</v>
      </c>
      <c r="D58" s="560">
        <f>-('Spur-Netback'!F106+'Spur-Netback'!F107+'Spur-Netback'!F114+'Spur-Netback'!F115+'Spur-Netback'!F116+'Spur-Netback'!F117+'Spur-Netback'!F118)</f>
        <v>-24.147900000000003</v>
      </c>
      <c r="E58" s="560">
        <f t="shared" si="4"/>
        <v>-586870.32074911788</v>
      </c>
      <c r="F58" s="400"/>
      <c r="G58" s="400"/>
      <c r="H58" s="400"/>
      <c r="I58" s="398" t="s">
        <v>306</v>
      </c>
      <c r="J58" s="561">
        <f>E54</f>
        <v>13749245.364437932</v>
      </c>
      <c r="K58" s="689">
        <f>J58/$C$46</f>
        <v>650.17474650957263</v>
      </c>
      <c r="L58" s="534"/>
      <c r="N58" s="533"/>
      <c r="O58" s="398" t="s">
        <v>305</v>
      </c>
      <c r="P58" s="557">
        <f>P51</f>
        <v>24693.378362417825</v>
      </c>
      <c r="Q58" s="558">
        <f t="shared" si="3"/>
        <v>-24.147900000000003</v>
      </c>
      <c r="R58" s="560">
        <f t="shared" si="5"/>
        <v>-596293.23135782953</v>
      </c>
      <c r="S58" s="400"/>
      <c r="T58" s="400"/>
      <c r="U58" s="400"/>
      <c r="V58" s="398"/>
      <c r="W58" s="561"/>
      <c r="X58" s="562"/>
      <c r="Y58" s="534"/>
    </row>
    <row r="59" spans="1:25" x14ac:dyDescent="0.2">
      <c r="A59" s="533"/>
      <c r="B59" s="398" t="s">
        <v>307</v>
      </c>
      <c r="C59" s="557">
        <f>C49*Inputs!C26</f>
        <v>48.788464447806355</v>
      </c>
      <c r="D59" s="560">
        <f>D54*-1</f>
        <v>-565.73895526375509</v>
      </c>
      <c r="E59" s="560">
        <f t="shared" si="4"/>
        <v>-27601.534905624823</v>
      </c>
      <c r="F59" s="400"/>
      <c r="G59" s="400"/>
      <c r="H59" s="400"/>
      <c r="I59" s="398" t="s">
        <v>308</v>
      </c>
      <c r="J59" s="561">
        <f>E55+E56</f>
        <v>-2137677.8677681549</v>
      </c>
      <c r="K59" s="689">
        <f t="shared" ref="K59:K61" si="6">J59/$C$46</f>
        <v>-101.08657813250839</v>
      </c>
      <c r="L59" s="534"/>
      <c r="N59" s="533"/>
      <c r="O59" s="398" t="s">
        <v>307</v>
      </c>
      <c r="P59" s="557">
        <f>P51*0.001</f>
        <v>24.693378362417825</v>
      </c>
      <c r="Q59" s="558">
        <f t="shared" si="3"/>
        <v>-565.73895526375509</v>
      </c>
      <c r="R59" s="560">
        <f t="shared" si="5"/>
        <v>-13970.006076686876</v>
      </c>
      <c r="S59" s="400"/>
      <c r="T59" s="400"/>
      <c r="U59" s="400"/>
      <c r="V59" s="398"/>
      <c r="W59" s="561"/>
      <c r="X59" s="562"/>
      <c r="Y59" s="534"/>
    </row>
    <row r="60" spans="1:25" x14ac:dyDescent="0.2">
      <c r="A60" s="533"/>
      <c r="B60" s="398" t="s">
        <v>309</v>
      </c>
      <c r="C60" s="557">
        <v>0</v>
      </c>
      <c r="D60" s="560">
        <v>0</v>
      </c>
      <c r="E60" s="560">
        <f t="shared" si="4"/>
        <v>0</v>
      </c>
      <c r="F60" s="400"/>
      <c r="G60" s="400"/>
      <c r="H60" s="400"/>
      <c r="I60" s="398" t="s">
        <v>310</v>
      </c>
      <c r="J60" s="561">
        <f>E57</f>
        <v>-109902.01475037831</v>
      </c>
      <c r="K60" s="689">
        <f t="shared" si="6"/>
        <v>-5.1970499243570396</v>
      </c>
      <c r="L60" s="534"/>
      <c r="N60" s="533"/>
      <c r="O60" s="398" t="s">
        <v>309</v>
      </c>
      <c r="P60" s="557">
        <v>0</v>
      </c>
      <c r="Q60" s="560">
        <f t="shared" si="3"/>
        <v>0</v>
      </c>
      <c r="R60" s="560">
        <f t="shared" si="5"/>
        <v>0</v>
      </c>
      <c r="S60" s="400"/>
      <c r="T60" s="400"/>
      <c r="U60" s="400"/>
      <c r="V60" s="398"/>
      <c r="W60" s="561"/>
      <c r="X60" s="562"/>
      <c r="Y60" s="534"/>
    </row>
    <row r="61" spans="1:25" x14ac:dyDescent="0.2">
      <c r="A61" s="533"/>
      <c r="B61" s="398" t="s">
        <v>307</v>
      </c>
      <c r="C61" s="563">
        <v>0</v>
      </c>
      <c r="D61" s="602">
        <v>0</v>
      </c>
      <c r="E61" s="401">
        <f t="shared" si="4"/>
        <v>0</v>
      </c>
      <c r="F61" s="400"/>
      <c r="G61" s="400"/>
      <c r="H61" s="400"/>
      <c r="I61" s="398" t="s">
        <v>311</v>
      </c>
      <c r="J61" s="561">
        <f>E58+E59+E60+E61</f>
        <v>-614471.85565474269</v>
      </c>
      <c r="K61" s="689">
        <f t="shared" si="6"/>
        <v>-29.057164404158637</v>
      </c>
      <c r="L61" s="534"/>
      <c r="N61" s="533"/>
      <c r="O61" s="398" t="s">
        <v>307</v>
      </c>
      <c r="P61" s="563">
        <v>0</v>
      </c>
      <c r="Q61" s="602">
        <f t="shared" si="3"/>
        <v>0</v>
      </c>
      <c r="R61" s="559">
        <f t="shared" si="5"/>
        <v>0</v>
      </c>
      <c r="S61" s="400"/>
      <c r="T61" s="400"/>
      <c r="U61" s="400"/>
      <c r="V61" s="398"/>
      <c r="W61" s="561"/>
      <c r="X61" s="562"/>
      <c r="Y61" s="534"/>
    </row>
    <row r="62" spans="1:25" ht="18.75" thickBot="1" x14ac:dyDescent="0.3">
      <c r="A62" s="694"/>
      <c r="C62" s="695"/>
      <c r="D62" s="566" t="s">
        <v>312</v>
      </c>
      <c r="E62" s="612">
        <f>SUM(E54:E61)</f>
        <v>10887193.626264656</v>
      </c>
      <c r="F62" s="400"/>
      <c r="G62" s="400"/>
      <c r="I62" s="398"/>
      <c r="J62" s="690">
        <f>SUM(J58:J61)</f>
        <v>10887193.626264656</v>
      </c>
      <c r="K62" s="401">
        <f>SUM(K58:K61)</f>
        <v>514.83395404854855</v>
      </c>
      <c r="L62" s="534"/>
      <c r="N62" s="564"/>
      <c r="P62" s="565"/>
      <c r="Q62" s="566" t="s">
        <v>312</v>
      </c>
      <c r="R62" s="567">
        <f>SUM(R54:R61)</f>
        <v>10822148.747804211</v>
      </c>
      <c r="S62" s="400"/>
      <c r="T62" s="400"/>
      <c r="V62" s="398"/>
      <c r="W62" s="561"/>
      <c r="X62" s="401"/>
      <c r="Y62" s="534"/>
    </row>
    <row r="63" spans="1:25" ht="13.5" thickTop="1" x14ac:dyDescent="0.2">
      <c r="A63" s="696"/>
      <c r="C63" s="697"/>
      <c r="D63" s="398" t="s">
        <v>313</v>
      </c>
      <c r="E63" s="570">
        <f>C46</f>
        <v>21147</v>
      </c>
      <c r="F63" s="537" t="s">
        <v>130</v>
      </c>
      <c r="H63" s="400"/>
      <c r="I63" s="571"/>
      <c r="K63" s="572">
        <f>E64</f>
        <v>514.83395404854855</v>
      </c>
      <c r="L63" s="534"/>
      <c r="N63" s="568"/>
      <c r="P63" s="569"/>
      <c r="Q63" s="398" t="s">
        <v>313</v>
      </c>
      <c r="R63" s="570">
        <f>P46</f>
        <v>21147</v>
      </c>
      <c r="S63" s="537" t="s">
        <v>130</v>
      </c>
      <c r="U63" s="400"/>
      <c r="V63" s="571"/>
      <c r="X63" s="572"/>
      <c r="Y63" s="534"/>
    </row>
    <row r="64" spans="1:25" s="574" customFormat="1" ht="18" x14ac:dyDescent="0.25">
      <c r="A64" s="698"/>
      <c r="D64" s="398" t="s">
        <v>314</v>
      </c>
      <c r="E64" s="691">
        <f>E62/E63</f>
        <v>514.83395404854855</v>
      </c>
      <c r="F64" s="537" t="s">
        <v>315</v>
      </c>
      <c r="I64" s="576"/>
      <c r="K64" s="577">
        <f>K62-K63</f>
        <v>0</v>
      </c>
      <c r="L64" s="578" t="s">
        <v>316</v>
      </c>
      <c r="N64" s="573"/>
      <c r="Q64" s="398" t="s">
        <v>332</v>
      </c>
      <c r="R64" s="575">
        <f>R62/R63</f>
        <v>511.75810979355043</v>
      </c>
      <c r="S64" s="537" t="s">
        <v>315</v>
      </c>
      <c r="V64" s="576"/>
      <c r="X64" s="577"/>
      <c r="Y64" s="578"/>
    </row>
    <row r="65" spans="1:25" x14ac:dyDescent="0.2">
      <c r="A65" s="698"/>
      <c r="B65" s="697"/>
      <c r="D65" s="398"/>
      <c r="E65" s="692">
        <f>E64/6.29287</f>
        <v>81.812265953141974</v>
      </c>
      <c r="F65" s="400" t="s">
        <v>317</v>
      </c>
      <c r="I65" s="571"/>
      <c r="L65" s="534"/>
      <c r="N65" s="573"/>
      <c r="O65" s="569"/>
      <c r="Q65" s="398"/>
      <c r="R65" s="579">
        <f>R64/6.29287</f>
        <v>81.323483528747687</v>
      </c>
      <c r="S65" s="400" t="s">
        <v>317</v>
      </c>
      <c r="V65" s="571"/>
      <c r="Y65" s="534"/>
    </row>
    <row r="66" spans="1:25" x14ac:dyDescent="0.2">
      <c r="A66" s="698"/>
      <c r="B66" s="697"/>
      <c r="D66" s="693"/>
      <c r="E66" s="692">
        <f>E65/B7</f>
        <v>59.850225650639722</v>
      </c>
      <c r="F66" s="400" t="s">
        <v>318</v>
      </c>
      <c r="L66" s="534"/>
      <c r="N66" s="573"/>
      <c r="O66" s="569"/>
      <c r="Q66" s="580"/>
      <c r="R66" s="581"/>
      <c r="S66" s="400"/>
      <c r="Y66" s="534"/>
    </row>
    <row r="67" spans="1:25" x14ac:dyDescent="0.2">
      <c r="A67" s="698"/>
      <c r="B67" s="697"/>
      <c r="D67" s="693" t="s">
        <v>419</v>
      </c>
      <c r="E67" s="560">
        <f>E66-B6</f>
        <v>-18.769774349360283</v>
      </c>
      <c r="F67" s="400" t="s">
        <v>318</v>
      </c>
      <c r="L67" s="534"/>
      <c r="N67" s="573"/>
      <c r="O67" s="569"/>
      <c r="Q67" s="580"/>
      <c r="R67" s="560"/>
      <c r="S67" s="400"/>
      <c r="Y67" s="534"/>
    </row>
    <row r="68" spans="1:25" x14ac:dyDescent="0.2">
      <c r="A68" s="698"/>
      <c r="B68" s="697"/>
      <c r="C68" s="574"/>
      <c r="D68" s="693" t="s">
        <v>418</v>
      </c>
      <c r="E68" s="560">
        <f>E67-B8</f>
        <v>-5.9497743493602826</v>
      </c>
      <c r="F68" s="400" t="s">
        <v>318</v>
      </c>
      <c r="L68" s="534"/>
      <c r="N68" s="573"/>
      <c r="O68" s="569"/>
      <c r="P68" s="574"/>
      <c r="Q68" s="580"/>
      <c r="R68" s="560"/>
      <c r="S68" s="400"/>
      <c r="Y68" s="534"/>
    </row>
    <row r="69" spans="1:25" x14ac:dyDescent="0.2">
      <c r="A69" s="698"/>
      <c r="B69" s="697"/>
      <c r="C69" s="574"/>
      <c r="D69" s="693" t="s">
        <v>420</v>
      </c>
      <c r="E69" s="754">
        <f>E64-(D54+D58+(C59/C54)*D59)</f>
        <v>-25.621383355259582</v>
      </c>
      <c r="F69" s="537" t="s">
        <v>315</v>
      </c>
      <c r="L69" s="534"/>
      <c r="N69" s="573"/>
      <c r="O69" s="569"/>
      <c r="P69" s="574"/>
      <c r="Q69" s="580" t="s">
        <v>331</v>
      </c>
      <c r="R69" s="582">
        <f>R64-(Q54+Q58+P59/P54*Q59)</f>
        <v>-29.267206514940824</v>
      </c>
      <c r="S69" s="400"/>
      <c r="Y69" s="534"/>
    </row>
    <row r="70" spans="1:25" ht="13.5" thickBot="1" x14ac:dyDescent="0.25">
      <c r="A70" s="583"/>
      <c r="B70" s="584"/>
      <c r="C70" s="585"/>
      <c r="D70" s="604" t="s">
        <v>420</v>
      </c>
      <c r="E70" s="760">
        <f>(((C55-C50-C59)*D54)-(C55*I15))/C46</f>
        <v>-17.956009135975595</v>
      </c>
      <c r="F70" s="761" t="s">
        <v>315</v>
      </c>
      <c r="G70" s="586" t="s">
        <v>411</v>
      </c>
      <c r="H70" s="586"/>
      <c r="I70" s="586"/>
      <c r="J70" s="586"/>
      <c r="K70" s="586"/>
      <c r="L70" s="587"/>
      <c r="N70" s="583"/>
      <c r="O70" s="584"/>
      <c r="P70" s="585"/>
      <c r="Q70" s="586"/>
      <c r="R70" s="586"/>
      <c r="S70" s="586"/>
      <c r="T70" s="586"/>
      <c r="U70" s="586"/>
      <c r="V70" s="586"/>
      <c r="W70" s="586"/>
      <c r="X70" s="586"/>
      <c r="Y70" s="587"/>
    </row>
    <row r="71" spans="1:25" ht="13.5" thickTop="1" x14ac:dyDescent="0.2">
      <c r="A71" s="588"/>
      <c r="B71" s="589"/>
      <c r="C71" s="590"/>
      <c r="D71" s="406"/>
      <c r="E71" s="406"/>
      <c r="F71" s="406"/>
      <c r="G71" s="406"/>
      <c r="H71" s="406"/>
      <c r="I71" s="406"/>
      <c r="J71" s="406"/>
      <c r="K71" s="406"/>
      <c r="L71" s="406"/>
    </row>
    <row r="72" spans="1:25" ht="13.5" thickBot="1" x14ac:dyDescent="0.25">
      <c r="A72" s="406"/>
      <c r="B72" s="406"/>
      <c r="C72" s="406"/>
      <c r="D72" s="406"/>
      <c r="E72" s="406"/>
      <c r="F72" s="406"/>
      <c r="G72" s="406"/>
      <c r="H72" s="406"/>
      <c r="I72" s="406"/>
      <c r="J72" s="406"/>
      <c r="K72" s="406"/>
      <c r="L72" s="406"/>
    </row>
    <row r="73" spans="1:25" ht="27.75" thickTop="1" thickBot="1" x14ac:dyDescent="0.45">
      <c r="A73" s="621" t="s">
        <v>373</v>
      </c>
      <c r="B73" s="622"/>
      <c r="C73" s="622"/>
      <c r="D73" s="622"/>
      <c r="E73" s="623"/>
      <c r="F73" s="624"/>
      <c r="G73" s="625"/>
      <c r="H73" s="625"/>
      <c r="I73" s="625"/>
      <c r="J73" s="625"/>
      <c r="K73" s="625"/>
      <c r="L73" s="626"/>
      <c r="Q73" s="591"/>
      <c r="T73" s="400"/>
    </row>
    <row r="74" spans="1:25" x14ac:dyDescent="0.2">
      <c r="A74" s="718" t="s">
        <v>371</v>
      </c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20"/>
    </row>
    <row r="75" spans="1:25" x14ac:dyDescent="0.2">
      <c r="A75" s="721"/>
      <c r="B75" s="722" t="s">
        <v>231</v>
      </c>
      <c r="C75" s="723"/>
      <c r="D75" s="724"/>
      <c r="E75" s="725"/>
      <c r="F75" s="725"/>
      <c r="G75" s="725"/>
      <c r="H75" s="665" t="s">
        <v>127</v>
      </c>
      <c r="I75" s="666"/>
      <c r="J75" s="666"/>
      <c r="K75" s="667"/>
      <c r="L75" s="726"/>
    </row>
    <row r="76" spans="1:25" x14ac:dyDescent="0.2">
      <c r="A76" s="700"/>
      <c r="B76" s="727" t="s">
        <v>130</v>
      </c>
      <c r="C76" s="728" t="s">
        <v>234</v>
      </c>
      <c r="D76" s="729" t="s">
        <v>235</v>
      </c>
      <c r="F76" s="45"/>
      <c r="G76" s="45"/>
      <c r="H76" s="668" t="s">
        <v>236</v>
      </c>
      <c r="I76" s="669" t="s">
        <v>237</v>
      </c>
      <c r="J76" s="669" t="s">
        <v>238</v>
      </c>
      <c r="K76" s="670" t="s">
        <v>239</v>
      </c>
      <c r="L76" s="726"/>
    </row>
    <row r="77" spans="1:25" x14ac:dyDescent="0.2">
      <c r="A77" s="712" t="s">
        <v>242</v>
      </c>
      <c r="B77" s="639">
        <f>$B$22</f>
        <v>21147</v>
      </c>
      <c r="C77" s="636">
        <f>$C$22</f>
        <v>965</v>
      </c>
      <c r="D77" s="730">
        <f>B77/B81</f>
        <v>0.87466112670511797</v>
      </c>
      <c r="E77" s="45"/>
      <c r="F77" s="45"/>
      <c r="G77" s="45"/>
      <c r="H77" s="671" t="s">
        <v>112</v>
      </c>
      <c r="I77" s="672" t="s">
        <v>130</v>
      </c>
      <c r="J77" s="673"/>
      <c r="K77" s="674"/>
      <c r="L77" s="726"/>
    </row>
    <row r="78" spans="1:25" x14ac:dyDescent="0.2">
      <c r="A78" s="712" t="s">
        <v>245</v>
      </c>
      <c r="B78" s="639">
        <f>$B$77*$E$78</f>
        <v>674.58929999999998</v>
      </c>
      <c r="C78" s="636">
        <v>575</v>
      </c>
      <c r="D78" s="730">
        <f>B78/B81</f>
        <v>2.7901689941893262E-2</v>
      </c>
      <c r="E78" s="763">
        <f>Inputs!C25</f>
        <v>3.1899999999999998E-2</v>
      </c>
      <c r="F78" s="94" t="s">
        <v>375</v>
      </c>
      <c r="G78" s="45"/>
      <c r="H78" s="627">
        <f>IFERROR(26900*F90*(100-F90)^0.819*(I90-J90)^2.28,0)</f>
        <v>0.22782348435166905</v>
      </c>
      <c r="I78" s="628">
        <f>IFERROR(H78/100*(B90+D90),0)</f>
        <v>49.714705084170987</v>
      </c>
      <c r="J78" s="628">
        <f>B90+D90</f>
        <v>21821.5893</v>
      </c>
      <c r="K78" s="629">
        <f>B90+D90-I78</f>
        <v>21771.874594915829</v>
      </c>
      <c r="L78" s="726"/>
    </row>
    <row r="79" spans="1:25" x14ac:dyDescent="0.2">
      <c r="A79" s="712" t="s">
        <v>248</v>
      </c>
      <c r="B79" s="639">
        <f>MAX(0,($B$77*$C$77+$B$78*$C$78-$D$49*$B$77-$D$49*$B$78)/($D$49-C79))</f>
        <v>2355.7742003782128</v>
      </c>
      <c r="C79" s="636">
        <f>$C$24</f>
        <v>660</v>
      </c>
      <c r="D79" s="730">
        <f>B79/B81</f>
        <v>9.7437183352988885E-2</v>
      </c>
      <c r="E79" s="735">
        <f>D49</f>
        <v>924.4</v>
      </c>
      <c r="F79" s="76" t="s">
        <v>423</v>
      </c>
      <c r="G79" s="45"/>
      <c r="H79" s="627">
        <f>IFERROR(26900*F91*(100-F91)^0.819*(I91-J91)^2.28,0)</f>
        <v>0.28297561843050922</v>
      </c>
      <c r="I79" s="628">
        <f>IFERROR(H79/100*(B91+D91),0)</f>
        <v>68.275363391224616</v>
      </c>
      <c r="J79" s="628">
        <f>B91+D91</f>
        <v>24127.648795294041</v>
      </c>
      <c r="K79" s="629">
        <f>B91+D91-I79</f>
        <v>24059.373431902815</v>
      </c>
      <c r="L79" s="726"/>
    </row>
    <row r="80" spans="1:25" ht="13.5" thickBot="1" x14ac:dyDescent="0.25">
      <c r="A80" s="731"/>
      <c r="B80" s="458"/>
      <c r="C80" s="732"/>
      <c r="D80" s="733"/>
      <c r="E80" s="45"/>
      <c r="F80" s="45"/>
      <c r="G80" s="45"/>
      <c r="H80" s="630">
        <f>IFERROR(26900*F92*(100-F92)^0.819*(I92-J92)^2.28,0)</f>
        <v>0</v>
      </c>
      <c r="I80" s="631">
        <f>IFERROR(H80/100*(B92+D92),0)</f>
        <v>0</v>
      </c>
      <c r="J80" s="631">
        <f>B92+D92</f>
        <v>24059.373431902815</v>
      </c>
      <c r="K80" s="632">
        <f>B92+D92-I80</f>
        <v>24059.373431902815</v>
      </c>
      <c r="L80" s="726"/>
    </row>
    <row r="81" spans="1:17" ht="13.5" thickBot="1" x14ac:dyDescent="0.25">
      <c r="A81" s="712" t="s">
        <v>251</v>
      </c>
      <c r="B81" s="461">
        <f>SUM(B77:B80)</f>
        <v>24177.363500378211</v>
      </c>
      <c r="C81" s="45"/>
      <c r="D81" s="734">
        <f>SUM(D77:D80)</f>
        <v>1</v>
      </c>
      <c r="E81" s="45"/>
      <c r="F81" s="45"/>
      <c r="G81" s="45"/>
      <c r="H81" s="633">
        <f>IF(I81=0,"",(I81/K81))</f>
        <v>4.9041205835784717E-3</v>
      </c>
      <c r="I81" s="675">
        <f>(SUM(I78:I80))*1</f>
        <v>117.9900684753956</v>
      </c>
      <c r="J81" s="676"/>
      <c r="K81" s="677">
        <f>K80</f>
        <v>24059.373431902815</v>
      </c>
      <c r="L81" s="726"/>
    </row>
    <row r="82" spans="1:17" x14ac:dyDescent="0.2">
      <c r="A82" s="712" t="s">
        <v>253</v>
      </c>
      <c r="B82" s="639">
        <f>SUMPRODUCT(B77:B80,C77:C80)/SUM(B77:B80)</f>
        <v>924.40000000000009</v>
      </c>
      <c r="C82" s="756" t="str">
        <f>IF(B82&gt;E82, "Okay", "Check Overblending!")</f>
        <v>Okay</v>
      </c>
      <c r="E82" s="757">
        <f>Inputs!C17</f>
        <v>924.2</v>
      </c>
      <c r="F82" s="76" t="s">
        <v>424</v>
      </c>
      <c r="G82" s="45"/>
      <c r="H82" s="45"/>
      <c r="I82" s="45"/>
      <c r="J82" s="77" t="s">
        <v>251</v>
      </c>
      <c r="K82" s="629">
        <f>B81</f>
        <v>24177.363500378211</v>
      </c>
      <c r="L82" s="726"/>
    </row>
    <row r="83" spans="1:17" x14ac:dyDescent="0.2">
      <c r="A83" s="736"/>
      <c r="B83" s="735">
        <f>D103</f>
        <v>924.40000000000009</v>
      </c>
      <c r="C83" s="45"/>
      <c r="D83" s="45"/>
      <c r="E83" s="737"/>
      <c r="F83" s="45"/>
      <c r="G83" s="45"/>
      <c r="H83" s="45"/>
      <c r="I83" s="45"/>
      <c r="J83" s="77" t="s">
        <v>259</v>
      </c>
      <c r="K83" s="629">
        <f>I81*-1</f>
        <v>-117.9900684753956</v>
      </c>
      <c r="L83" s="726"/>
    </row>
    <row r="84" spans="1:17" x14ac:dyDescent="0.2">
      <c r="A84" s="736"/>
      <c r="B84" s="45"/>
      <c r="C84" s="45"/>
      <c r="D84" s="45"/>
      <c r="E84" s="45"/>
      <c r="F84" s="45"/>
      <c r="G84" s="45"/>
      <c r="H84" s="45"/>
      <c r="I84" s="45"/>
      <c r="J84" s="77" t="s">
        <v>260</v>
      </c>
      <c r="K84" s="634">
        <f>K82+K83</f>
        <v>24059.373431902815</v>
      </c>
      <c r="L84" s="726"/>
    </row>
    <row r="85" spans="1:17" x14ac:dyDescent="0.2">
      <c r="A85" s="736" t="s">
        <v>377</v>
      </c>
      <c r="B85" s="45"/>
      <c r="C85" s="45"/>
      <c r="D85" s="45"/>
      <c r="E85" s="45"/>
      <c r="F85" s="45"/>
      <c r="G85" s="45"/>
      <c r="H85" s="45"/>
      <c r="I85" s="45"/>
      <c r="J85" s="77" t="s">
        <v>262</v>
      </c>
      <c r="K85" s="635">
        <f>I81/B81</f>
        <v>4.8801875553366215E-3</v>
      </c>
      <c r="L85" s="726"/>
    </row>
    <row r="86" spans="1:17" x14ac:dyDescent="0.2">
      <c r="A86" s="738" t="s">
        <v>263</v>
      </c>
      <c r="B86" s="45"/>
      <c r="C86" s="45"/>
      <c r="D86" s="45"/>
      <c r="E86" s="45"/>
      <c r="F86" s="45"/>
      <c r="G86" s="45"/>
      <c r="H86" s="45"/>
      <c r="I86" s="45"/>
      <c r="J86" s="45"/>
      <c r="L86" s="726"/>
    </row>
    <row r="87" spans="1:17" x14ac:dyDescent="0.2">
      <c r="A87" s="700"/>
      <c r="B87" s="822" t="s">
        <v>265</v>
      </c>
      <c r="C87" s="823"/>
      <c r="D87" s="822" t="s">
        <v>266</v>
      </c>
      <c r="E87" s="823"/>
      <c r="F87" s="45"/>
      <c r="G87" s="45"/>
      <c r="H87" s="45"/>
      <c r="I87" s="45"/>
      <c r="J87" s="45"/>
      <c r="K87" s="45"/>
      <c r="L87" s="726"/>
    </row>
    <row r="88" spans="1:17" ht="48" x14ac:dyDescent="0.2">
      <c r="A88" s="701"/>
      <c r="B88" s="702" t="s">
        <v>268</v>
      </c>
      <c r="C88" s="702" t="s">
        <v>269</v>
      </c>
      <c r="D88" s="702" t="s">
        <v>270</v>
      </c>
      <c r="E88" s="702" t="s">
        <v>269</v>
      </c>
      <c r="F88" s="703" t="s">
        <v>271</v>
      </c>
      <c r="G88" s="703" t="s">
        <v>272</v>
      </c>
      <c r="H88" s="703" t="s">
        <v>273</v>
      </c>
      <c r="I88" s="702" t="s">
        <v>274</v>
      </c>
      <c r="J88" s="702" t="s">
        <v>275</v>
      </c>
      <c r="K88" s="45"/>
      <c r="L88" s="726"/>
    </row>
    <row r="89" spans="1:17" x14ac:dyDescent="0.2">
      <c r="A89" s="704"/>
      <c r="B89" s="705" t="s">
        <v>130</v>
      </c>
      <c r="C89" s="706" t="s">
        <v>277</v>
      </c>
      <c r="D89" s="705" t="s">
        <v>130</v>
      </c>
      <c r="E89" s="706" t="s">
        <v>277</v>
      </c>
      <c r="F89" s="707" t="s">
        <v>112</v>
      </c>
      <c r="G89" s="707" t="s">
        <v>112</v>
      </c>
      <c r="H89" s="707" t="s">
        <v>112</v>
      </c>
      <c r="I89" s="707"/>
      <c r="J89" s="739"/>
      <c r="K89" s="45"/>
      <c r="L89" s="726"/>
    </row>
    <row r="90" spans="1:17" x14ac:dyDescent="0.2">
      <c r="A90" s="708" t="s">
        <v>245</v>
      </c>
      <c r="B90" s="709">
        <f>B78</f>
        <v>674.58929999999998</v>
      </c>
      <c r="C90" s="710">
        <f>C78</f>
        <v>575</v>
      </c>
      <c r="D90" s="709">
        <f>B77</f>
        <v>21147</v>
      </c>
      <c r="E90" s="710">
        <f>C77</f>
        <v>965</v>
      </c>
      <c r="F90" s="711">
        <f>IFERROR(B90/(B90+D90)*100,"")</f>
        <v>3.0913848241108632</v>
      </c>
      <c r="G90" s="711">
        <f>IFERROR(D90/(B90+D90)*100,"")</f>
        <v>96.908615175889139</v>
      </c>
      <c r="H90" s="740">
        <f>F90+G90</f>
        <v>100</v>
      </c>
      <c r="I90" s="741">
        <f>IFERROR(1/C90,"")</f>
        <v>1.7391304347826088E-3</v>
      </c>
      <c r="J90" s="742">
        <f>IFERROR(1/E90,"")</f>
        <v>1.0362694300518134E-3</v>
      </c>
      <c r="K90" s="45"/>
      <c r="L90" s="726"/>
    </row>
    <row r="91" spans="1:17" x14ac:dyDescent="0.2">
      <c r="A91" s="708" t="s">
        <v>248</v>
      </c>
      <c r="B91" s="709">
        <f>B79</f>
        <v>2355.7742003782128</v>
      </c>
      <c r="C91" s="710">
        <f>C79</f>
        <v>660</v>
      </c>
      <c r="D91" s="709">
        <f>K78</f>
        <v>21771.874594915829</v>
      </c>
      <c r="E91" s="710">
        <f>E90</f>
        <v>965</v>
      </c>
      <c r="F91" s="711">
        <f>IFERROR(B91/(B91+D91)*100,"")</f>
        <v>9.7637951396146523</v>
      </c>
      <c r="G91" s="711">
        <f>IFERROR(D91/(B91+D91)*100,"")</f>
        <v>90.236204860385357</v>
      </c>
      <c r="H91" s="740">
        <f t="shared" ref="H91:H92" si="7">F91+G91</f>
        <v>100.00000000000001</v>
      </c>
      <c r="I91" s="741">
        <f>IFERROR(1/C91,"")</f>
        <v>1.5151515151515152E-3</v>
      </c>
      <c r="J91" s="742">
        <f>IFERROR(1/E91,"")</f>
        <v>1.0362694300518134E-3</v>
      </c>
      <c r="K91" s="45"/>
      <c r="L91" s="726"/>
    </row>
    <row r="92" spans="1:17" x14ac:dyDescent="0.2">
      <c r="A92" s="712" t="s">
        <v>280</v>
      </c>
      <c r="B92" s="713">
        <f>K79</f>
        <v>24059.373431902815</v>
      </c>
      <c r="C92" s="714">
        <f>E91</f>
        <v>965</v>
      </c>
      <c r="D92" s="713">
        <f>B80</f>
        <v>0</v>
      </c>
      <c r="E92" s="714">
        <f>C80</f>
        <v>0</v>
      </c>
      <c r="F92" s="711">
        <f>IFERROR(B92/(B92+D92)*100,"")</f>
        <v>100</v>
      </c>
      <c r="G92" s="711">
        <f>IFERROR(D92/(B92+D92)*100,"")</f>
        <v>0</v>
      </c>
      <c r="H92" s="740">
        <f t="shared" si="7"/>
        <v>100</v>
      </c>
      <c r="I92" s="741">
        <f>IFERROR(1/C92,"")</f>
        <v>1.0362694300518134E-3</v>
      </c>
      <c r="J92" s="742" t="str">
        <f>IFERROR(1/E92,"")</f>
        <v/>
      </c>
      <c r="K92" s="45"/>
      <c r="L92" s="726"/>
    </row>
    <row r="93" spans="1:17" x14ac:dyDescent="0.2">
      <c r="A93" s="715" t="s">
        <v>282</v>
      </c>
      <c r="B93" s="45" t="s">
        <v>283</v>
      </c>
      <c r="C93" s="45"/>
      <c r="D93" s="45"/>
      <c r="E93" s="45"/>
      <c r="F93" s="45"/>
      <c r="G93" s="45"/>
      <c r="H93" s="45"/>
      <c r="I93" s="45"/>
      <c r="J93" s="674"/>
      <c r="K93" s="45"/>
      <c r="L93" s="726"/>
    </row>
    <row r="94" spans="1:17" x14ac:dyDescent="0.2">
      <c r="A94" s="715" t="s">
        <v>284</v>
      </c>
      <c r="B94" s="45" t="s">
        <v>285</v>
      </c>
      <c r="C94" s="45"/>
      <c r="D94" s="45"/>
      <c r="E94" s="45"/>
      <c r="F94" s="45"/>
      <c r="G94" s="45"/>
      <c r="H94" s="45"/>
      <c r="I94" s="45"/>
      <c r="J94" s="674"/>
      <c r="K94" s="45"/>
      <c r="L94" s="726"/>
    </row>
    <row r="95" spans="1:17" x14ac:dyDescent="0.2">
      <c r="A95" s="715" t="s">
        <v>287</v>
      </c>
      <c r="B95" s="45" t="s">
        <v>288</v>
      </c>
      <c r="C95" s="45"/>
      <c r="D95" s="45"/>
      <c r="E95" s="45"/>
      <c r="F95" s="45"/>
      <c r="G95" s="45"/>
      <c r="H95" s="45"/>
      <c r="I95" s="45"/>
      <c r="J95" s="674"/>
      <c r="K95" s="45"/>
      <c r="L95" s="726"/>
    </row>
    <row r="96" spans="1:17" x14ac:dyDescent="0.2">
      <c r="A96" s="716" t="s">
        <v>290</v>
      </c>
      <c r="B96" s="717" t="s">
        <v>291</v>
      </c>
      <c r="C96" s="717"/>
      <c r="D96" s="717"/>
      <c r="E96" s="717"/>
      <c r="F96" s="717"/>
      <c r="G96" s="717"/>
      <c r="H96" s="717"/>
      <c r="I96" s="717"/>
      <c r="J96" s="743"/>
      <c r="K96" s="717"/>
      <c r="L96" s="744"/>
      <c r="Q96" s="366"/>
    </row>
    <row r="97" spans="1:12" x14ac:dyDescent="0.2">
      <c r="A97" s="533"/>
      <c r="L97" s="534"/>
    </row>
    <row r="98" spans="1:12" ht="23.25" x14ac:dyDescent="0.35">
      <c r="A98" s="535" t="s">
        <v>374</v>
      </c>
      <c r="L98" s="534"/>
    </row>
    <row r="99" spans="1:12" x14ac:dyDescent="0.2">
      <c r="A99" s="533"/>
      <c r="B99" s="537"/>
      <c r="C99" s="538" t="s">
        <v>130</v>
      </c>
      <c r="D99" s="538" t="s">
        <v>277</v>
      </c>
      <c r="E99" s="539" t="s">
        <v>293</v>
      </c>
      <c r="F99" s="539" t="s">
        <v>235</v>
      </c>
      <c r="G99" s="400"/>
      <c r="H99" s="400"/>
      <c r="I99" s="400"/>
      <c r="L99" s="534"/>
    </row>
    <row r="100" spans="1:12" ht="18" x14ac:dyDescent="0.25">
      <c r="A100" s="541"/>
      <c r="B100" s="542" t="s">
        <v>294</v>
      </c>
      <c r="C100" s="543">
        <f>$B$77</f>
        <v>21147</v>
      </c>
      <c r="D100" s="543">
        <f>$C$77</f>
        <v>965</v>
      </c>
      <c r="E100" s="592"/>
      <c r="F100" s="592">
        <f>C100/C103</f>
        <v>0.87466112670511797</v>
      </c>
      <c r="G100" s="400"/>
      <c r="H100" s="400"/>
      <c r="I100" s="400"/>
      <c r="L100" s="534"/>
    </row>
    <row r="101" spans="1:12" ht="18" x14ac:dyDescent="0.25">
      <c r="A101" s="546"/>
      <c r="B101" s="542" t="s">
        <v>189</v>
      </c>
      <c r="C101" s="543">
        <f>$B$79</f>
        <v>2355.7742003782128</v>
      </c>
      <c r="D101" s="551">
        <f>$C$79</f>
        <v>660</v>
      </c>
      <c r="E101" s="592">
        <f>C101/C100</f>
        <v>0.11139992435703469</v>
      </c>
      <c r="F101" s="592">
        <f>C101/C103</f>
        <v>9.7437183352988885E-2</v>
      </c>
      <c r="G101" s="400"/>
      <c r="H101" s="536"/>
      <c r="I101" s="400"/>
      <c r="L101" s="534"/>
    </row>
    <row r="102" spans="1:12" ht="18" x14ac:dyDescent="0.25">
      <c r="A102" s="550"/>
      <c r="B102" s="542" t="s">
        <v>295</v>
      </c>
      <c r="C102" s="543">
        <f>$B$78</f>
        <v>674.58929999999998</v>
      </c>
      <c r="D102" s="551">
        <f>C78</f>
        <v>575</v>
      </c>
      <c r="E102" s="592">
        <f>C102/C100</f>
        <v>3.1899999999999998E-2</v>
      </c>
      <c r="F102" s="592">
        <f>C102/C103</f>
        <v>2.7901689941893262E-2</v>
      </c>
      <c r="G102" s="400"/>
      <c r="H102" s="536"/>
      <c r="I102" s="400"/>
      <c r="L102" s="534"/>
    </row>
    <row r="103" spans="1:12" ht="18" x14ac:dyDescent="0.25">
      <c r="A103" s="550"/>
      <c r="B103" s="542" t="s">
        <v>296</v>
      </c>
      <c r="C103" s="552">
        <f>SUM(C100:C102)</f>
        <v>24177.363500378211</v>
      </c>
      <c r="D103" s="688">
        <f>SUMPRODUCT(C100:C102,D100:D102)/SUM(C100:C102)</f>
        <v>924.40000000000009</v>
      </c>
      <c r="E103" s="592"/>
      <c r="F103" s="592">
        <f>SUM(F100:F102)</f>
        <v>1.0000000000000002</v>
      </c>
      <c r="G103" s="400"/>
      <c r="H103" s="536"/>
      <c r="I103" s="400"/>
      <c r="L103" s="534"/>
    </row>
    <row r="104" spans="1:12" ht="18" x14ac:dyDescent="0.25">
      <c r="A104" s="550"/>
      <c r="B104" s="542" t="s">
        <v>297</v>
      </c>
      <c r="C104" s="554">
        <f>I81</f>
        <v>117.9900684753956</v>
      </c>
      <c r="D104" s="555"/>
      <c r="E104" s="400"/>
      <c r="F104" s="400"/>
      <c r="G104" s="400"/>
      <c r="H104" s="400"/>
      <c r="I104" s="400"/>
      <c r="L104" s="534"/>
    </row>
    <row r="105" spans="1:12" ht="18" x14ac:dyDescent="0.25">
      <c r="A105" s="550"/>
      <c r="B105" s="542" t="s">
        <v>298</v>
      </c>
      <c r="C105" s="552">
        <f>C103-C104</f>
        <v>24059.373431902815</v>
      </c>
      <c r="D105" s="555"/>
      <c r="E105" s="400"/>
      <c r="F105" s="400"/>
      <c r="G105" s="400"/>
      <c r="H105" s="400"/>
      <c r="I105" s="400"/>
      <c r="L105" s="534"/>
    </row>
    <row r="106" spans="1:12" x14ac:dyDescent="0.2">
      <c r="A106" s="550"/>
      <c r="B106" s="400"/>
      <c r="C106" s="570"/>
      <c r="D106" s="400"/>
      <c r="E106" s="400"/>
      <c r="F106" s="400"/>
      <c r="G106" s="400"/>
      <c r="H106" s="400"/>
      <c r="I106" s="400"/>
      <c r="L106" s="534"/>
    </row>
    <row r="107" spans="1:12" x14ac:dyDescent="0.2">
      <c r="A107" s="550"/>
      <c r="B107" s="400"/>
      <c r="C107" s="539" t="s">
        <v>130</v>
      </c>
      <c r="D107" s="539" t="s">
        <v>299</v>
      </c>
      <c r="E107" s="539" t="s">
        <v>300</v>
      </c>
      <c r="F107" s="400"/>
      <c r="G107" s="400"/>
      <c r="H107" s="400"/>
      <c r="I107" s="400"/>
      <c r="L107" s="534"/>
    </row>
    <row r="108" spans="1:12" x14ac:dyDescent="0.2">
      <c r="A108" s="550"/>
      <c r="B108" s="398" t="s">
        <v>301</v>
      </c>
      <c r="C108" s="557">
        <f>C105</f>
        <v>24059.373431902815</v>
      </c>
      <c r="D108" s="560">
        <f>E8</f>
        <v>565.73895526375509</v>
      </c>
      <c r="E108" s="560">
        <f>C108*D108</f>
        <v>13611324.789665245</v>
      </c>
      <c r="F108" s="400"/>
      <c r="H108" s="400"/>
      <c r="I108" s="400"/>
      <c r="L108" s="534"/>
    </row>
    <row r="109" spans="1:12" x14ac:dyDescent="0.2">
      <c r="A109" s="533"/>
      <c r="B109" s="398" t="s">
        <v>302</v>
      </c>
      <c r="C109" s="557">
        <f>C101</f>
        <v>2355.7742003782128</v>
      </c>
      <c r="D109" s="560">
        <f>I15*-1</f>
        <v>-658.30766645899507</v>
      </c>
      <c r="E109" s="560">
        <f>C109*D109</f>
        <v>-1550824.2165552862</v>
      </c>
      <c r="F109" s="400"/>
      <c r="G109" s="400"/>
      <c r="H109" s="400"/>
      <c r="I109" s="400"/>
      <c r="L109" s="534"/>
    </row>
    <row r="110" spans="1:12" x14ac:dyDescent="0.2">
      <c r="A110" s="533"/>
      <c r="B110" s="398" t="s">
        <v>303</v>
      </c>
      <c r="C110" s="557">
        <f>C102</f>
        <v>674.58929999999998</v>
      </c>
      <c r="D110" s="560">
        <f>E10*-1</f>
        <v>-321.23883223421927</v>
      </c>
      <c r="E110" s="560">
        <f>C110*D110</f>
        <v>-216704.2789696994</v>
      </c>
      <c r="F110" s="400"/>
      <c r="G110" s="400"/>
      <c r="H110" s="400"/>
      <c r="I110" s="400"/>
      <c r="L110" s="534"/>
    </row>
    <row r="111" spans="1:12" x14ac:dyDescent="0.2">
      <c r="A111" s="533"/>
      <c r="B111" s="398" t="s">
        <v>304</v>
      </c>
      <c r="C111" s="557">
        <f>C109</f>
        <v>2355.7742003782128</v>
      </c>
      <c r="D111" s="560">
        <f>$D$57</f>
        <v>-33.844827586206897</v>
      </c>
      <c r="E111" s="560">
        <f t="shared" ref="E111:E115" si="8">C111*D111</f>
        <v>-79730.771643835033</v>
      </c>
      <c r="F111" s="400"/>
      <c r="G111" s="400"/>
      <c r="H111" s="400"/>
      <c r="I111" s="400"/>
      <c r="L111" s="534"/>
    </row>
    <row r="112" spans="1:12" x14ac:dyDescent="0.2">
      <c r="A112" s="533"/>
      <c r="B112" s="398" t="s">
        <v>305</v>
      </c>
      <c r="C112" s="557">
        <f>C105</f>
        <v>24059.373431902815</v>
      </c>
      <c r="D112" s="560">
        <f>$D$58</f>
        <v>-24.147900000000003</v>
      </c>
      <c r="E112" s="560">
        <f t="shared" si="8"/>
        <v>-580983.34369624604</v>
      </c>
      <c r="F112" s="400"/>
      <c r="G112" s="400"/>
      <c r="H112" s="400"/>
      <c r="I112" s="398" t="s">
        <v>306</v>
      </c>
      <c r="J112" s="560">
        <f>E108</f>
        <v>13611324.789665245</v>
      </c>
      <c r="K112" s="689">
        <f>J112/$C$46</f>
        <v>643.6527540391188</v>
      </c>
      <c r="L112" s="534"/>
    </row>
    <row r="113" spans="1:12" x14ac:dyDescent="0.2">
      <c r="A113" s="533"/>
      <c r="B113" s="398" t="s">
        <v>307</v>
      </c>
      <c r="C113" s="557">
        <f>C105*0.002</f>
        <v>48.118746863805633</v>
      </c>
      <c r="D113" s="560">
        <f>-D108</f>
        <v>-565.73895526375509</v>
      </c>
      <c r="E113" s="560">
        <f t="shared" si="8"/>
        <v>-27222.649579330489</v>
      </c>
      <c r="F113" s="603">
        <f>E113/C105</f>
        <v>-1.1314779105275101</v>
      </c>
      <c r="G113" s="400" t="s">
        <v>417</v>
      </c>
      <c r="H113" s="400"/>
      <c r="I113" s="398" t="s">
        <v>308</v>
      </c>
      <c r="J113" s="560">
        <f>E109+E110</f>
        <v>-1767528.4955249857</v>
      </c>
      <c r="K113" s="689">
        <f t="shared" ref="K113:K115" si="9">J113/$C$46</f>
        <v>-83.582942995459675</v>
      </c>
      <c r="L113" s="534"/>
    </row>
    <row r="114" spans="1:12" x14ac:dyDescent="0.2">
      <c r="A114" s="533"/>
      <c r="B114" s="398" t="s">
        <v>309</v>
      </c>
      <c r="C114" s="557">
        <v>0</v>
      </c>
      <c r="D114" s="560">
        <v>0</v>
      </c>
      <c r="E114" s="560">
        <f t="shared" si="8"/>
        <v>0</v>
      </c>
      <c r="F114" s="400"/>
      <c r="G114" s="400"/>
      <c r="H114" s="400"/>
      <c r="I114" s="398" t="s">
        <v>310</v>
      </c>
      <c r="J114" s="560">
        <f>E111</f>
        <v>-79730.771643835033</v>
      </c>
      <c r="K114" s="689">
        <f t="shared" si="9"/>
        <v>-3.7703112329803297</v>
      </c>
      <c r="L114" s="534"/>
    </row>
    <row r="115" spans="1:12" x14ac:dyDescent="0.2">
      <c r="A115" s="533"/>
      <c r="B115" s="398" t="s">
        <v>307</v>
      </c>
      <c r="C115" s="557">
        <v>0</v>
      </c>
      <c r="D115" s="560">
        <v>0</v>
      </c>
      <c r="E115" s="560">
        <f t="shared" si="8"/>
        <v>0</v>
      </c>
      <c r="F115" s="400"/>
      <c r="G115" s="400"/>
      <c r="H115" s="400"/>
      <c r="I115" s="398" t="s">
        <v>311</v>
      </c>
      <c r="J115" s="560">
        <f>E112+E113+E114+E115</f>
        <v>-608205.9932755765</v>
      </c>
      <c r="K115" s="689">
        <f t="shared" si="9"/>
        <v>-28.760864107229228</v>
      </c>
      <c r="L115" s="534"/>
    </row>
    <row r="116" spans="1:12" ht="18.75" thickBot="1" x14ac:dyDescent="0.3">
      <c r="A116" s="694"/>
      <c r="C116" s="745"/>
      <c r="D116" s="593" t="s">
        <v>312</v>
      </c>
      <c r="E116" s="594">
        <f>SUM(E108:E115)</f>
        <v>11155859.529220847</v>
      </c>
      <c r="F116" s="400"/>
      <c r="G116" s="400"/>
      <c r="I116" s="398"/>
      <c r="J116" s="690">
        <f>SUM(J112:J115)</f>
        <v>11155859.529220847</v>
      </c>
      <c r="K116" s="401">
        <f>SUM(K112:K115)</f>
        <v>527.53863570344947</v>
      </c>
      <c r="L116" s="534"/>
    </row>
    <row r="117" spans="1:12" ht="13.5" thickTop="1" x14ac:dyDescent="0.2">
      <c r="A117" s="696"/>
      <c r="C117" s="697"/>
      <c r="D117" s="398" t="s">
        <v>313</v>
      </c>
      <c r="E117" s="570">
        <f>C100</f>
        <v>21147</v>
      </c>
      <c r="F117" s="537" t="s">
        <v>130</v>
      </c>
      <c r="H117" s="400"/>
      <c r="K117" s="572">
        <f>E118</f>
        <v>527.53863570344959</v>
      </c>
      <c r="L117" s="534"/>
    </row>
    <row r="118" spans="1:12" ht="18" x14ac:dyDescent="0.25">
      <c r="A118" s="698"/>
      <c r="B118" s="574"/>
      <c r="C118" s="574"/>
      <c r="D118" s="398" t="s">
        <v>314</v>
      </c>
      <c r="E118" s="691">
        <f>E116/E117</f>
        <v>527.53863570344959</v>
      </c>
      <c r="F118" s="537" t="s">
        <v>315</v>
      </c>
      <c r="G118" s="595"/>
      <c r="H118" s="574"/>
      <c r="I118" s="574"/>
      <c r="J118" s="574"/>
      <c r="K118" s="577">
        <f>K116-K117</f>
        <v>0</v>
      </c>
      <c r="L118" s="578" t="s">
        <v>316</v>
      </c>
    </row>
    <row r="119" spans="1:12" x14ac:dyDescent="0.2">
      <c r="A119" s="698"/>
      <c r="B119" s="697"/>
      <c r="D119" s="398"/>
      <c r="E119" s="692">
        <f>E118/6.29287</f>
        <v>83.831166972057204</v>
      </c>
      <c r="F119" s="400" t="s">
        <v>317</v>
      </c>
      <c r="L119" s="534"/>
    </row>
    <row r="120" spans="1:12" x14ac:dyDescent="0.2">
      <c r="A120" s="698"/>
      <c r="B120" s="697"/>
      <c r="D120" s="693"/>
      <c r="E120" s="692">
        <f>E119/B7</f>
        <v>61.327164104069055</v>
      </c>
      <c r="F120" s="400" t="s">
        <v>318</v>
      </c>
      <c r="L120" s="534"/>
    </row>
    <row r="121" spans="1:12" x14ac:dyDescent="0.2">
      <c r="A121" s="698"/>
      <c r="B121" s="697"/>
      <c r="D121" s="693" t="s">
        <v>319</v>
      </c>
      <c r="E121" s="560">
        <f>E120-B6</f>
        <v>-17.292835895930949</v>
      </c>
      <c r="F121" s="400" t="s">
        <v>318</v>
      </c>
      <c r="L121" s="534"/>
    </row>
    <row r="122" spans="1:12" x14ac:dyDescent="0.2">
      <c r="A122" s="698"/>
      <c r="B122" s="697"/>
      <c r="C122" s="574"/>
      <c r="D122" s="693" t="s">
        <v>320</v>
      </c>
      <c r="E122" s="560">
        <f>E121-B8</f>
        <v>-4.4728358959309489</v>
      </c>
      <c r="F122" s="400" t="s">
        <v>318</v>
      </c>
      <c r="L122" s="534"/>
    </row>
    <row r="123" spans="1:12" x14ac:dyDescent="0.2">
      <c r="A123" s="698"/>
      <c r="B123" s="697"/>
      <c r="C123" s="574"/>
      <c r="D123" s="693" t="s">
        <v>331</v>
      </c>
      <c r="E123" s="754">
        <f>E118-(D108+D112+(C113/C108)*D113)</f>
        <v>-12.920941649777888</v>
      </c>
      <c r="F123" s="537" t="s">
        <v>315</v>
      </c>
      <c r="L123" s="534"/>
    </row>
    <row r="124" spans="1:12" x14ac:dyDescent="0.2">
      <c r="A124" s="698"/>
      <c r="B124" s="697"/>
      <c r="C124" s="574"/>
      <c r="D124" s="693" t="s">
        <v>331</v>
      </c>
      <c r="E124" s="754">
        <f>((($C$109+$C$110-$C$104-$C$113)*$D$108)-(($C$109*I$15)+($C$110*E$10)))/$C$100</f>
        <v>-6.9564497281741779</v>
      </c>
      <c r="F124" s="537" t="s">
        <v>315</v>
      </c>
      <c r="G124" s="364" t="s">
        <v>411</v>
      </c>
      <c r="L124" s="534"/>
    </row>
    <row r="125" spans="1:12" x14ac:dyDescent="0.2">
      <c r="A125" s="698"/>
      <c r="B125" s="697"/>
      <c r="C125" s="574"/>
      <c r="D125" s="398" t="s">
        <v>416</v>
      </c>
      <c r="E125" s="754">
        <f>(E109+E110+E111)/$C$105</f>
        <v>-76.779192625164058</v>
      </c>
      <c r="F125" s="537" t="s">
        <v>315</v>
      </c>
      <c r="G125" s="364" t="s">
        <v>411</v>
      </c>
      <c r="L125" s="534"/>
    </row>
    <row r="126" spans="1:12" ht="13.5" thickBot="1" x14ac:dyDescent="0.25">
      <c r="A126" s="596"/>
      <c r="B126" s="586"/>
      <c r="C126" s="586"/>
      <c r="D126" s="604" t="s">
        <v>336</v>
      </c>
      <c r="E126" s="762">
        <f>(E123*C100)/C105</f>
        <v>-11.356869032405346</v>
      </c>
      <c r="F126" s="761" t="s">
        <v>315</v>
      </c>
      <c r="G126" s="586"/>
      <c r="H126" s="586"/>
      <c r="I126" s="586"/>
      <c r="J126" s="586"/>
      <c r="K126" s="586"/>
      <c r="L126" s="587"/>
    </row>
    <row r="127" spans="1:12" ht="13.5" thickTop="1" x14ac:dyDescent="0.2"/>
    <row r="128" spans="1:12" ht="23.25" x14ac:dyDescent="0.35">
      <c r="A128" s="597" t="s">
        <v>321</v>
      </c>
      <c r="K128" s="598" t="s">
        <v>299</v>
      </c>
      <c r="L128" s="598" t="s">
        <v>318</v>
      </c>
    </row>
    <row r="129" spans="4:12" ht="18.75" thickBot="1" x14ac:dyDescent="0.3">
      <c r="D129" s="398" t="s">
        <v>322</v>
      </c>
      <c r="E129" s="612">
        <f>E116-E62</f>
        <v>268665.90295619145</v>
      </c>
      <c r="H129" s="398" t="s">
        <v>306</v>
      </c>
      <c r="I129" s="746">
        <f>J112-J58</f>
        <v>-137920.57477268763</v>
      </c>
      <c r="J129" s="599" t="s">
        <v>323</v>
      </c>
      <c r="K129" s="747">
        <f>I129/E130</f>
        <v>-6.5219924704538528</v>
      </c>
      <c r="L129" s="747">
        <f>K129/6.29287/$B$7</f>
        <v>-0.75819148674803061</v>
      </c>
    </row>
    <row r="130" spans="4:12" ht="18.75" thickTop="1" x14ac:dyDescent="0.25">
      <c r="D130" s="398" t="s">
        <v>313</v>
      </c>
      <c r="E130" s="600">
        <f>E117</f>
        <v>21147</v>
      </c>
      <c r="F130" s="537" t="s">
        <v>130</v>
      </c>
      <c r="H130" s="398" t="s">
        <v>308</v>
      </c>
      <c r="I130" s="746">
        <f>J113-J59</f>
        <v>370149.37224316923</v>
      </c>
      <c r="J130" s="599" t="s">
        <v>324</v>
      </c>
      <c r="K130" s="747">
        <f>I130/E130</f>
        <v>17.503635137048718</v>
      </c>
      <c r="L130" s="747">
        <f t="shared" ref="L130:L132" si="10">K130/6.29287/$B$7</f>
        <v>2.034824052339105</v>
      </c>
    </row>
    <row r="131" spans="4:12" ht="18" x14ac:dyDescent="0.25">
      <c r="D131" s="398" t="s">
        <v>314</v>
      </c>
      <c r="E131" s="601">
        <f>E129/E130</f>
        <v>12.704681654901</v>
      </c>
      <c r="F131" s="537" t="s">
        <v>315</v>
      </c>
      <c r="H131" s="398" t="s">
        <v>310</v>
      </c>
      <c r="I131" s="746">
        <f>J114-J60</f>
        <v>30171.243106543276</v>
      </c>
      <c r="J131" s="599" t="s">
        <v>324</v>
      </c>
      <c r="K131" s="747">
        <f>I131/E130</f>
        <v>1.4267386913767095</v>
      </c>
      <c r="L131" s="747">
        <f t="shared" si="10"/>
        <v>0.16586053027757802</v>
      </c>
    </row>
    <row r="132" spans="4:12" ht="18" x14ac:dyDescent="0.25">
      <c r="E132" s="748">
        <f>E131/6.29287</f>
        <v>2.018901018915217</v>
      </c>
      <c r="F132" s="400" t="s">
        <v>317</v>
      </c>
      <c r="H132" s="398" t="s">
        <v>311</v>
      </c>
      <c r="I132" s="746">
        <f>J115-J61</f>
        <v>6265.8623791661812</v>
      </c>
      <c r="J132" s="599" t="s">
        <v>324</v>
      </c>
      <c r="K132" s="747">
        <f>I132/E130</f>
        <v>0.29630029692940751</v>
      </c>
      <c r="L132" s="747">
        <f t="shared" si="10"/>
        <v>3.4445357560671533E-2</v>
      </c>
    </row>
    <row r="133" spans="4:12" ht="18.75" thickBot="1" x14ac:dyDescent="0.3">
      <c r="E133" s="601">
        <f>E132/B7</f>
        <v>1.4769384534293257</v>
      </c>
      <c r="F133" s="400" t="s">
        <v>318</v>
      </c>
      <c r="H133" s="398" t="s">
        <v>325</v>
      </c>
      <c r="I133" s="567">
        <f>SUM(I129:I132)</f>
        <v>268665.90295619104</v>
      </c>
      <c r="J133" s="599" t="s">
        <v>324</v>
      </c>
      <c r="K133" s="601">
        <f>SUM(K129:K132)</f>
        <v>12.704681654900982</v>
      </c>
      <c r="L133" s="601">
        <f>SUM(L129:L132)</f>
        <v>1.4769384534293239</v>
      </c>
    </row>
    <row r="134" spans="4:12" ht="13.5" thickTop="1" x14ac:dyDescent="0.2">
      <c r="D134" s="398" t="s">
        <v>333</v>
      </c>
      <c r="E134" s="570">
        <f>C105</f>
        <v>24059.373431902815</v>
      </c>
      <c r="F134" s="537" t="s">
        <v>130</v>
      </c>
    </row>
    <row r="135" spans="4:12" x14ac:dyDescent="0.2">
      <c r="D135" s="398" t="s">
        <v>334</v>
      </c>
      <c r="E135" s="749">
        <f>E129/E134</f>
        <v>11.166787186566525</v>
      </c>
      <c r="F135" s="400"/>
    </row>
    <row r="136" spans="4:12" x14ac:dyDescent="0.2">
      <c r="D136" s="364" t="s">
        <v>455</v>
      </c>
      <c r="E136" s="800">
        <v>0.85</v>
      </c>
    </row>
  </sheetData>
  <protectedRanges>
    <protectedRange sqref="B22:C25 B77:C80" name="Range3_1_1"/>
  </protectedRanges>
  <dataConsolidate link="1"/>
  <mergeCells count="4">
    <mergeCell ref="B33:C33"/>
    <mergeCell ref="D33:E33"/>
    <mergeCell ref="B87:C87"/>
    <mergeCell ref="D87:E87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7049-CEE1-4F8C-A15C-CE86F9B61CFC}">
  <dimension ref="A1:S71"/>
  <sheetViews>
    <sheetView topLeftCell="A34" workbookViewId="0">
      <selection activeCell="B59" sqref="B59"/>
    </sheetView>
  </sheetViews>
  <sheetFormatPr defaultRowHeight="15" x14ac:dyDescent="0.2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3.85546875" bestFit="1" customWidth="1"/>
    <col min="11" max="11" width="14.42578125" customWidth="1"/>
    <col min="12" max="12" width="14.140625" customWidth="1"/>
    <col min="14" max="14" width="19.85546875" bestFit="1" customWidth="1"/>
    <col min="15" max="18" width="12.85546875" bestFit="1" customWidth="1"/>
    <col min="256" max="256" width="36.7109375" customWidth="1"/>
    <col min="257" max="257" width="15.42578125" customWidth="1"/>
    <col min="259" max="259" width="16.7109375" customWidth="1"/>
    <col min="260" max="260" width="22.5703125" customWidth="1"/>
    <col min="261" max="261" width="17.5703125" customWidth="1"/>
    <col min="263" max="263" width="10.140625" bestFit="1" customWidth="1"/>
    <col min="271" max="274" width="12.85546875" bestFit="1" customWidth="1"/>
    <col min="512" max="512" width="36.7109375" customWidth="1"/>
    <col min="513" max="513" width="15.42578125" customWidth="1"/>
    <col min="515" max="515" width="16.7109375" customWidth="1"/>
    <col min="516" max="516" width="22.5703125" customWidth="1"/>
    <col min="517" max="517" width="17.5703125" customWidth="1"/>
    <col min="519" max="519" width="10.140625" bestFit="1" customWidth="1"/>
    <col min="527" max="530" width="12.85546875" bestFit="1" customWidth="1"/>
    <col min="768" max="768" width="36.7109375" customWidth="1"/>
    <col min="769" max="769" width="15.42578125" customWidth="1"/>
    <col min="771" max="771" width="16.7109375" customWidth="1"/>
    <col min="772" max="772" width="22.5703125" customWidth="1"/>
    <col min="773" max="773" width="17.5703125" customWidth="1"/>
    <col min="775" max="775" width="10.140625" bestFit="1" customWidth="1"/>
    <col min="783" max="786" width="12.85546875" bestFit="1" customWidth="1"/>
    <col min="1024" max="1024" width="36.7109375" customWidth="1"/>
    <col min="1025" max="1025" width="15.42578125" customWidth="1"/>
    <col min="1027" max="1027" width="16.7109375" customWidth="1"/>
    <col min="1028" max="1028" width="22.5703125" customWidth="1"/>
    <col min="1029" max="1029" width="17.5703125" customWidth="1"/>
    <col min="1031" max="1031" width="10.140625" bestFit="1" customWidth="1"/>
    <col min="1039" max="1042" width="12.85546875" bestFit="1" customWidth="1"/>
    <col min="1280" max="1280" width="36.7109375" customWidth="1"/>
    <col min="1281" max="1281" width="15.42578125" customWidth="1"/>
    <col min="1283" max="1283" width="16.7109375" customWidth="1"/>
    <col min="1284" max="1284" width="22.5703125" customWidth="1"/>
    <col min="1285" max="1285" width="17.5703125" customWidth="1"/>
    <col min="1287" max="1287" width="10.140625" bestFit="1" customWidth="1"/>
    <col min="1295" max="1298" width="12.85546875" bestFit="1" customWidth="1"/>
    <col min="1536" max="1536" width="36.7109375" customWidth="1"/>
    <col min="1537" max="1537" width="15.42578125" customWidth="1"/>
    <col min="1539" max="1539" width="16.7109375" customWidth="1"/>
    <col min="1540" max="1540" width="22.5703125" customWidth="1"/>
    <col min="1541" max="1541" width="17.5703125" customWidth="1"/>
    <col min="1543" max="1543" width="10.140625" bestFit="1" customWidth="1"/>
    <col min="1551" max="1554" width="12.85546875" bestFit="1" customWidth="1"/>
    <col min="1792" max="1792" width="36.7109375" customWidth="1"/>
    <col min="1793" max="1793" width="15.42578125" customWidth="1"/>
    <col min="1795" max="1795" width="16.7109375" customWidth="1"/>
    <col min="1796" max="1796" width="22.5703125" customWidth="1"/>
    <col min="1797" max="1797" width="17.5703125" customWidth="1"/>
    <col min="1799" max="1799" width="10.140625" bestFit="1" customWidth="1"/>
    <col min="1807" max="1810" width="12.85546875" bestFit="1" customWidth="1"/>
    <col min="2048" max="2048" width="36.7109375" customWidth="1"/>
    <col min="2049" max="2049" width="15.42578125" customWidth="1"/>
    <col min="2051" max="2051" width="16.7109375" customWidth="1"/>
    <col min="2052" max="2052" width="22.5703125" customWidth="1"/>
    <col min="2053" max="2053" width="17.5703125" customWidth="1"/>
    <col min="2055" max="2055" width="10.140625" bestFit="1" customWidth="1"/>
    <col min="2063" max="2066" width="12.85546875" bestFit="1" customWidth="1"/>
    <col min="2304" max="2304" width="36.7109375" customWidth="1"/>
    <col min="2305" max="2305" width="15.42578125" customWidth="1"/>
    <col min="2307" max="2307" width="16.7109375" customWidth="1"/>
    <col min="2308" max="2308" width="22.5703125" customWidth="1"/>
    <col min="2309" max="2309" width="17.5703125" customWidth="1"/>
    <col min="2311" max="2311" width="10.140625" bestFit="1" customWidth="1"/>
    <col min="2319" max="2322" width="12.85546875" bestFit="1" customWidth="1"/>
    <col min="2560" max="2560" width="36.7109375" customWidth="1"/>
    <col min="2561" max="2561" width="15.42578125" customWidth="1"/>
    <col min="2563" max="2563" width="16.7109375" customWidth="1"/>
    <col min="2564" max="2564" width="22.5703125" customWidth="1"/>
    <col min="2565" max="2565" width="17.5703125" customWidth="1"/>
    <col min="2567" max="2567" width="10.140625" bestFit="1" customWidth="1"/>
    <col min="2575" max="2578" width="12.85546875" bestFit="1" customWidth="1"/>
    <col min="2816" max="2816" width="36.7109375" customWidth="1"/>
    <col min="2817" max="2817" width="15.42578125" customWidth="1"/>
    <col min="2819" max="2819" width="16.7109375" customWidth="1"/>
    <col min="2820" max="2820" width="22.5703125" customWidth="1"/>
    <col min="2821" max="2821" width="17.5703125" customWidth="1"/>
    <col min="2823" max="2823" width="10.140625" bestFit="1" customWidth="1"/>
    <col min="2831" max="2834" width="12.85546875" bestFit="1" customWidth="1"/>
    <col min="3072" max="3072" width="36.7109375" customWidth="1"/>
    <col min="3073" max="3073" width="15.42578125" customWidth="1"/>
    <col min="3075" max="3075" width="16.7109375" customWidth="1"/>
    <col min="3076" max="3076" width="22.5703125" customWidth="1"/>
    <col min="3077" max="3077" width="17.5703125" customWidth="1"/>
    <col min="3079" max="3079" width="10.140625" bestFit="1" customWidth="1"/>
    <col min="3087" max="3090" width="12.85546875" bestFit="1" customWidth="1"/>
    <col min="3328" max="3328" width="36.7109375" customWidth="1"/>
    <col min="3329" max="3329" width="15.42578125" customWidth="1"/>
    <col min="3331" max="3331" width="16.7109375" customWidth="1"/>
    <col min="3332" max="3332" width="22.5703125" customWidth="1"/>
    <col min="3333" max="3333" width="17.5703125" customWidth="1"/>
    <col min="3335" max="3335" width="10.140625" bestFit="1" customWidth="1"/>
    <col min="3343" max="3346" width="12.85546875" bestFit="1" customWidth="1"/>
    <col min="3584" max="3584" width="36.7109375" customWidth="1"/>
    <col min="3585" max="3585" width="15.42578125" customWidth="1"/>
    <col min="3587" max="3587" width="16.7109375" customWidth="1"/>
    <col min="3588" max="3588" width="22.5703125" customWidth="1"/>
    <col min="3589" max="3589" width="17.5703125" customWidth="1"/>
    <col min="3591" max="3591" width="10.140625" bestFit="1" customWidth="1"/>
    <col min="3599" max="3602" width="12.85546875" bestFit="1" customWidth="1"/>
    <col min="3840" max="3840" width="36.7109375" customWidth="1"/>
    <col min="3841" max="3841" width="15.42578125" customWidth="1"/>
    <col min="3843" max="3843" width="16.7109375" customWidth="1"/>
    <col min="3844" max="3844" width="22.5703125" customWidth="1"/>
    <col min="3845" max="3845" width="17.5703125" customWidth="1"/>
    <col min="3847" max="3847" width="10.140625" bestFit="1" customWidth="1"/>
    <col min="3855" max="3858" width="12.85546875" bestFit="1" customWidth="1"/>
    <col min="4096" max="4096" width="36.7109375" customWidth="1"/>
    <col min="4097" max="4097" width="15.42578125" customWidth="1"/>
    <col min="4099" max="4099" width="16.7109375" customWidth="1"/>
    <col min="4100" max="4100" width="22.5703125" customWidth="1"/>
    <col min="4101" max="4101" width="17.5703125" customWidth="1"/>
    <col min="4103" max="4103" width="10.140625" bestFit="1" customWidth="1"/>
    <col min="4111" max="4114" width="12.85546875" bestFit="1" customWidth="1"/>
    <col min="4352" max="4352" width="36.7109375" customWidth="1"/>
    <col min="4353" max="4353" width="15.42578125" customWidth="1"/>
    <col min="4355" max="4355" width="16.7109375" customWidth="1"/>
    <col min="4356" max="4356" width="22.5703125" customWidth="1"/>
    <col min="4357" max="4357" width="17.5703125" customWidth="1"/>
    <col min="4359" max="4359" width="10.140625" bestFit="1" customWidth="1"/>
    <col min="4367" max="4370" width="12.85546875" bestFit="1" customWidth="1"/>
    <col min="4608" max="4608" width="36.7109375" customWidth="1"/>
    <col min="4609" max="4609" width="15.42578125" customWidth="1"/>
    <col min="4611" max="4611" width="16.7109375" customWidth="1"/>
    <col min="4612" max="4612" width="22.5703125" customWidth="1"/>
    <col min="4613" max="4613" width="17.5703125" customWidth="1"/>
    <col min="4615" max="4615" width="10.140625" bestFit="1" customWidth="1"/>
    <col min="4623" max="4626" width="12.85546875" bestFit="1" customWidth="1"/>
    <col min="4864" max="4864" width="36.7109375" customWidth="1"/>
    <col min="4865" max="4865" width="15.42578125" customWidth="1"/>
    <col min="4867" max="4867" width="16.7109375" customWidth="1"/>
    <col min="4868" max="4868" width="22.5703125" customWidth="1"/>
    <col min="4869" max="4869" width="17.5703125" customWidth="1"/>
    <col min="4871" max="4871" width="10.140625" bestFit="1" customWidth="1"/>
    <col min="4879" max="4882" width="12.85546875" bestFit="1" customWidth="1"/>
    <col min="5120" max="5120" width="36.7109375" customWidth="1"/>
    <col min="5121" max="5121" width="15.42578125" customWidth="1"/>
    <col min="5123" max="5123" width="16.7109375" customWidth="1"/>
    <col min="5124" max="5124" width="22.5703125" customWidth="1"/>
    <col min="5125" max="5125" width="17.5703125" customWidth="1"/>
    <col min="5127" max="5127" width="10.140625" bestFit="1" customWidth="1"/>
    <col min="5135" max="5138" width="12.85546875" bestFit="1" customWidth="1"/>
    <col min="5376" max="5376" width="36.7109375" customWidth="1"/>
    <col min="5377" max="5377" width="15.42578125" customWidth="1"/>
    <col min="5379" max="5379" width="16.7109375" customWidth="1"/>
    <col min="5380" max="5380" width="22.5703125" customWidth="1"/>
    <col min="5381" max="5381" width="17.5703125" customWidth="1"/>
    <col min="5383" max="5383" width="10.140625" bestFit="1" customWidth="1"/>
    <col min="5391" max="5394" width="12.85546875" bestFit="1" customWidth="1"/>
    <col min="5632" max="5632" width="36.7109375" customWidth="1"/>
    <col min="5633" max="5633" width="15.42578125" customWidth="1"/>
    <col min="5635" max="5635" width="16.7109375" customWidth="1"/>
    <col min="5636" max="5636" width="22.5703125" customWidth="1"/>
    <col min="5637" max="5637" width="17.5703125" customWidth="1"/>
    <col min="5639" max="5639" width="10.140625" bestFit="1" customWidth="1"/>
    <col min="5647" max="5650" width="12.85546875" bestFit="1" customWidth="1"/>
    <col min="5888" max="5888" width="36.7109375" customWidth="1"/>
    <col min="5889" max="5889" width="15.42578125" customWidth="1"/>
    <col min="5891" max="5891" width="16.7109375" customWidth="1"/>
    <col min="5892" max="5892" width="22.5703125" customWidth="1"/>
    <col min="5893" max="5893" width="17.5703125" customWidth="1"/>
    <col min="5895" max="5895" width="10.140625" bestFit="1" customWidth="1"/>
    <col min="5903" max="5906" width="12.85546875" bestFit="1" customWidth="1"/>
    <col min="6144" max="6144" width="36.7109375" customWidth="1"/>
    <col min="6145" max="6145" width="15.42578125" customWidth="1"/>
    <col min="6147" max="6147" width="16.7109375" customWidth="1"/>
    <col min="6148" max="6148" width="22.5703125" customWidth="1"/>
    <col min="6149" max="6149" width="17.5703125" customWidth="1"/>
    <col min="6151" max="6151" width="10.140625" bestFit="1" customWidth="1"/>
    <col min="6159" max="6162" width="12.85546875" bestFit="1" customWidth="1"/>
    <col min="6400" max="6400" width="36.7109375" customWidth="1"/>
    <col min="6401" max="6401" width="15.42578125" customWidth="1"/>
    <col min="6403" max="6403" width="16.7109375" customWidth="1"/>
    <col min="6404" max="6404" width="22.5703125" customWidth="1"/>
    <col min="6405" max="6405" width="17.5703125" customWidth="1"/>
    <col min="6407" max="6407" width="10.140625" bestFit="1" customWidth="1"/>
    <col min="6415" max="6418" width="12.85546875" bestFit="1" customWidth="1"/>
    <col min="6656" max="6656" width="36.7109375" customWidth="1"/>
    <col min="6657" max="6657" width="15.42578125" customWidth="1"/>
    <col min="6659" max="6659" width="16.7109375" customWidth="1"/>
    <col min="6660" max="6660" width="22.5703125" customWidth="1"/>
    <col min="6661" max="6661" width="17.5703125" customWidth="1"/>
    <col min="6663" max="6663" width="10.140625" bestFit="1" customWidth="1"/>
    <col min="6671" max="6674" width="12.85546875" bestFit="1" customWidth="1"/>
    <col min="6912" max="6912" width="36.7109375" customWidth="1"/>
    <col min="6913" max="6913" width="15.42578125" customWidth="1"/>
    <col min="6915" max="6915" width="16.7109375" customWidth="1"/>
    <col min="6916" max="6916" width="22.5703125" customWidth="1"/>
    <col min="6917" max="6917" width="17.5703125" customWidth="1"/>
    <col min="6919" max="6919" width="10.140625" bestFit="1" customWidth="1"/>
    <col min="6927" max="6930" width="12.85546875" bestFit="1" customWidth="1"/>
    <col min="7168" max="7168" width="36.7109375" customWidth="1"/>
    <col min="7169" max="7169" width="15.42578125" customWidth="1"/>
    <col min="7171" max="7171" width="16.7109375" customWidth="1"/>
    <col min="7172" max="7172" width="22.5703125" customWidth="1"/>
    <col min="7173" max="7173" width="17.5703125" customWidth="1"/>
    <col min="7175" max="7175" width="10.140625" bestFit="1" customWidth="1"/>
    <col min="7183" max="7186" width="12.85546875" bestFit="1" customWidth="1"/>
    <col min="7424" max="7424" width="36.7109375" customWidth="1"/>
    <col min="7425" max="7425" width="15.42578125" customWidth="1"/>
    <col min="7427" max="7427" width="16.7109375" customWidth="1"/>
    <col min="7428" max="7428" width="22.5703125" customWidth="1"/>
    <col min="7429" max="7429" width="17.5703125" customWidth="1"/>
    <col min="7431" max="7431" width="10.140625" bestFit="1" customWidth="1"/>
    <col min="7439" max="7442" width="12.85546875" bestFit="1" customWidth="1"/>
    <col min="7680" max="7680" width="36.7109375" customWidth="1"/>
    <col min="7681" max="7681" width="15.42578125" customWidth="1"/>
    <col min="7683" max="7683" width="16.7109375" customWidth="1"/>
    <col min="7684" max="7684" width="22.5703125" customWidth="1"/>
    <col min="7685" max="7685" width="17.5703125" customWidth="1"/>
    <col min="7687" max="7687" width="10.140625" bestFit="1" customWidth="1"/>
    <col min="7695" max="7698" width="12.85546875" bestFit="1" customWidth="1"/>
    <col min="7936" max="7936" width="36.7109375" customWidth="1"/>
    <col min="7937" max="7937" width="15.42578125" customWidth="1"/>
    <col min="7939" max="7939" width="16.7109375" customWidth="1"/>
    <col min="7940" max="7940" width="22.5703125" customWidth="1"/>
    <col min="7941" max="7941" width="17.5703125" customWidth="1"/>
    <col min="7943" max="7943" width="10.140625" bestFit="1" customWidth="1"/>
    <col min="7951" max="7954" width="12.85546875" bestFit="1" customWidth="1"/>
    <col min="8192" max="8192" width="36.7109375" customWidth="1"/>
    <col min="8193" max="8193" width="15.42578125" customWidth="1"/>
    <col min="8195" max="8195" width="16.7109375" customWidth="1"/>
    <col min="8196" max="8196" width="22.5703125" customWidth="1"/>
    <col min="8197" max="8197" width="17.5703125" customWidth="1"/>
    <col min="8199" max="8199" width="10.140625" bestFit="1" customWidth="1"/>
    <col min="8207" max="8210" width="12.85546875" bestFit="1" customWidth="1"/>
    <col min="8448" max="8448" width="36.7109375" customWidth="1"/>
    <col min="8449" max="8449" width="15.42578125" customWidth="1"/>
    <col min="8451" max="8451" width="16.7109375" customWidth="1"/>
    <col min="8452" max="8452" width="22.5703125" customWidth="1"/>
    <col min="8453" max="8453" width="17.5703125" customWidth="1"/>
    <col min="8455" max="8455" width="10.140625" bestFit="1" customWidth="1"/>
    <col min="8463" max="8466" width="12.85546875" bestFit="1" customWidth="1"/>
    <col min="8704" max="8704" width="36.7109375" customWidth="1"/>
    <col min="8705" max="8705" width="15.42578125" customWidth="1"/>
    <col min="8707" max="8707" width="16.7109375" customWidth="1"/>
    <col min="8708" max="8708" width="22.5703125" customWidth="1"/>
    <col min="8709" max="8709" width="17.5703125" customWidth="1"/>
    <col min="8711" max="8711" width="10.140625" bestFit="1" customWidth="1"/>
    <col min="8719" max="8722" width="12.85546875" bestFit="1" customWidth="1"/>
    <col min="8960" max="8960" width="36.7109375" customWidth="1"/>
    <col min="8961" max="8961" width="15.42578125" customWidth="1"/>
    <col min="8963" max="8963" width="16.7109375" customWidth="1"/>
    <col min="8964" max="8964" width="22.5703125" customWidth="1"/>
    <col min="8965" max="8965" width="17.5703125" customWidth="1"/>
    <col min="8967" max="8967" width="10.140625" bestFit="1" customWidth="1"/>
    <col min="8975" max="8978" width="12.85546875" bestFit="1" customWidth="1"/>
    <col min="9216" max="9216" width="36.7109375" customWidth="1"/>
    <col min="9217" max="9217" width="15.42578125" customWidth="1"/>
    <col min="9219" max="9219" width="16.7109375" customWidth="1"/>
    <col min="9220" max="9220" width="22.5703125" customWidth="1"/>
    <col min="9221" max="9221" width="17.5703125" customWidth="1"/>
    <col min="9223" max="9223" width="10.140625" bestFit="1" customWidth="1"/>
    <col min="9231" max="9234" width="12.85546875" bestFit="1" customWidth="1"/>
    <col min="9472" max="9472" width="36.7109375" customWidth="1"/>
    <col min="9473" max="9473" width="15.42578125" customWidth="1"/>
    <col min="9475" max="9475" width="16.7109375" customWidth="1"/>
    <col min="9476" max="9476" width="22.5703125" customWidth="1"/>
    <col min="9477" max="9477" width="17.5703125" customWidth="1"/>
    <col min="9479" max="9479" width="10.140625" bestFit="1" customWidth="1"/>
    <col min="9487" max="9490" width="12.85546875" bestFit="1" customWidth="1"/>
    <col min="9728" max="9728" width="36.7109375" customWidth="1"/>
    <col min="9729" max="9729" width="15.42578125" customWidth="1"/>
    <col min="9731" max="9731" width="16.7109375" customWidth="1"/>
    <col min="9732" max="9732" width="22.5703125" customWidth="1"/>
    <col min="9733" max="9733" width="17.5703125" customWidth="1"/>
    <col min="9735" max="9735" width="10.140625" bestFit="1" customWidth="1"/>
    <col min="9743" max="9746" width="12.85546875" bestFit="1" customWidth="1"/>
    <col min="9984" max="9984" width="36.7109375" customWidth="1"/>
    <col min="9985" max="9985" width="15.42578125" customWidth="1"/>
    <col min="9987" max="9987" width="16.7109375" customWidth="1"/>
    <col min="9988" max="9988" width="22.5703125" customWidth="1"/>
    <col min="9989" max="9989" width="17.5703125" customWidth="1"/>
    <col min="9991" max="9991" width="10.140625" bestFit="1" customWidth="1"/>
    <col min="9999" max="10002" width="12.85546875" bestFit="1" customWidth="1"/>
    <col min="10240" max="10240" width="36.7109375" customWidth="1"/>
    <col min="10241" max="10241" width="15.42578125" customWidth="1"/>
    <col min="10243" max="10243" width="16.7109375" customWidth="1"/>
    <col min="10244" max="10244" width="22.5703125" customWidth="1"/>
    <col min="10245" max="10245" width="17.5703125" customWidth="1"/>
    <col min="10247" max="10247" width="10.140625" bestFit="1" customWidth="1"/>
    <col min="10255" max="10258" width="12.85546875" bestFit="1" customWidth="1"/>
    <col min="10496" max="10496" width="36.7109375" customWidth="1"/>
    <col min="10497" max="10497" width="15.42578125" customWidth="1"/>
    <col min="10499" max="10499" width="16.7109375" customWidth="1"/>
    <col min="10500" max="10500" width="22.5703125" customWidth="1"/>
    <col min="10501" max="10501" width="17.5703125" customWidth="1"/>
    <col min="10503" max="10503" width="10.140625" bestFit="1" customWidth="1"/>
    <col min="10511" max="10514" width="12.85546875" bestFit="1" customWidth="1"/>
    <col min="10752" max="10752" width="36.7109375" customWidth="1"/>
    <col min="10753" max="10753" width="15.42578125" customWidth="1"/>
    <col min="10755" max="10755" width="16.7109375" customWidth="1"/>
    <col min="10756" max="10756" width="22.5703125" customWidth="1"/>
    <col min="10757" max="10757" width="17.5703125" customWidth="1"/>
    <col min="10759" max="10759" width="10.140625" bestFit="1" customWidth="1"/>
    <col min="10767" max="10770" width="12.85546875" bestFit="1" customWidth="1"/>
    <col min="11008" max="11008" width="36.7109375" customWidth="1"/>
    <col min="11009" max="11009" width="15.42578125" customWidth="1"/>
    <col min="11011" max="11011" width="16.7109375" customWidth="1"/>
    <col min="11012" max="11012" width="22.5703125" customWidth="1"/>
    <col min="11013" max="11013" width="17.5703125" customWidth="1"/>
    <col min="11015" max="11015" width="10.140625" bestFit="1" customWidth="1"/>
    <col min="11023" max="11026" width="12.85546875" bestFit="1" customWidth="1"/>
    <col min="11264" max="11264" width="36.7109375" customWidth="1"/>
    <col min="11265" max="11265" width="15.42578125" customWidth="1"/>
    <col min="11267" max="11267" width="16.7109375" customWidth="1"/>
    <col min="11268" max="11268" width="22.5703125" customWidth="1"/>
    <col min="11269" max="11269" width="17.5703125" customWidth="1"/>
    <col min="11271" max="11271" width="10.140625" bestFit="1" customWidth="1"/>
    <col min="11279" max="11282" width="12.85546875" bestFit="1" customWidth="1"/>
    <col min="11520" max="11520" width="36.7109375" customWidth="1"/>
    <col min="11521" max="11521" width="15.42578125" customWidth="1"/>
    <col min="11523" max="11523" width="16.7109375" customWidth="1"/>
    <col min="11524" max="11524" width="22.5703125" customWidth="1"/>
    <col min="11525" max="11525" width="17.5703125" customWidth="1"/>
    <col min="11527" max="11527" width="10.140625" bestFit="1" customWidth="1"/>
    <col min="11535" max="11538" width="12.85546875" bestFit="1" customWidth="1"/>
    <col min="11776" max="11776" width="36.7109375" customWidth="1"/>
    <col min="11777" max="11777" width="15.42578125" customWidth="1"/>
    <col min="11779" max="11779" width="16.7109375" customWidth="1"/>
    <col min="11780" max="11780" width="22.5703125" customWidth="1"/>
    <col min="11781" max="11781" width="17.5703125" customWidth="1"/>
    <col min="11783" max="11783" width="10.140625" bestFit="1" customWidth="1"/>
    <col min="11791" max="11794" width="12.85546875" bestFit="1" customWidth="1"/>
    <col min="12032" max="12032" width="36.7109375" customWidth="1"/>
    <col min="12033" max="12033" width="15.42578125" customWidth="1"/>
    <col min="12035" max="12035" width="16.7109375" customWidth="1"/>
    <col min="12036" max="12036" width="22.5703125" customWidth="1"/>
    <col min="12037" max="12037" width="17.5703125" customWidth="1"/>
    <col min="12039" max="12039" width="10.140625" bestFit="1" customWidth="1"/>
    <col min="12047" max="12050" width="12.85546875" bestFit="1" customWidth="1"/>
    <col min="12288" max="12288" width="36.7109375" customWidth="1"/>
    <col min="12289" max="12289" width="15.42578125" customWidth="1"/>
    <col min="12291" max="12291" width="16.7109375" customWidth="1"/>
    <col min="12292" max="12292" width="22.5703125" customWidth="1"/>
    <col min="12293" max="12293" width="17.5703125" customWidth="1"/>
    <col min="12295" max="12295" width="10.140625" bestFit="1" customWidth="1"/>
    <col min="12303" max="12306" width="12.85546875" bestFit="1" customWidth="1"/>
    <col min="12544" max="12544" width="36.7109375" customWidth="1"/>
    <col min="12545" max="12545" width="15.42578125" customWidth="1"/>
    <col min="12547" max="12547" width="16.7109375" customWidth="1"/>
    <col min="12548" max="12548" width="22.5703125" customWidth="1"/>
    <col min="12549" max="12549" width="17.5703125" customWidth="1"/>
    <col min="12551" max="12551" width="10.140625" bestFit="1" customWidth="1"/>
    <col min="12559" max="12562" width="12.85546875" bestFit="1" customWidth="1"/>
    <col min="12800" max="12800" width="36.7109375" customWidth="1"/>
    <col min="12801" max="12801" width="15.42578125" customWidth="1"/>
    <col min="12803" max="12803" width="16.7109375" customWidth="1"/>
    <col min="12804" max="12804" width="22.5703125" customWidth="1"/>
    <col min="12805" max="12805" width="17.5703125" customWidth="1"/>
    <col min="12807" max="12807" width="10.140625" bestFit="1" customWidth="1"/>
    <col min="12815" max="12818" width="12.85546875" bestFit="1" customWidth="1"/>
    <col min="13056" max="13056" width="36.7109375" customWidth="1"/>
    <col min="13057" max="13057" width="15.42578125" customWidth="1"/>
    <col min="13059" max="13059" width="16.7109375" customWidth="1"/>
    <col min="13060" max="13060" width="22.5703125" customWidth="1"/>
    <col min="13061" max="13061" width="17.5703125" customWidth="1"/>
    <col min="13063" max="13063" width="10.140625" bestFit="1" customWidth="1"/>
    <col min="13071" max="13074" width="12.85546875" bestFit="1" customWidth="1"/>
    <col min="13312" max="13312" width="36.7109375" customWidth="1"/>
    <col min="13313" max="13313" width="15.42578125" customWidth="1"/>
    <col min="13315" max="13315" width="16.7109375" customWidth="1"/>
    <col min="13316" max="13316" width="22.5703125" customWidth="1"/>
    <col min="13317" max="13317" width="17.5703125" customWidth="1"/>
    <col min="13319" max="13319" width="10.140625" bestFit="1" customWidth="1"/>
    <col min="13327" max="13330" width="12.85546875" bestFit="1" customWidth="1"/>
    <col min="13568" max="13568" width="36.7109375" customWidth="1"/>
    <col min="13569" max="13569" width="15.42578125" customWidth="1"/>
    <col min="13571" max="13571" width="16.7109375" customWidth="1"/>
    <col min="13572" max="13572" width="22.5703125" customWidth="1"/>
    <col min="13573" max="13573" width="17.5703125" customWidth="1"/>
    <col min="13575" max="13575" width="10.140625" bestFit="1" customWidth="1"/>
    <col min="13583" max="13586" width="12.85546875" bestFit="1" customWidth="1"/>
    <col min="13824" max="13824" width="36.7109375" customWidth="1"/>
    <col min="13825" max="13825" width="15.42578125" customWidth="1"/>
    <col min="13827" max="13827" width="16.7109375" customWidth="1"/>
    <col min="13828" max="13828" width="22.5703125" customWidth="1"/>
    <col min="13829" max="13829" width="17.5703125" customWidth="1"/>
    <col min="13831" max="13831" width="10.140625" bestFit="1" customWidth="1"/>
    <col min="13839" max="13842" width="12.85546875" bestFit="1" customWidth="1"/>
    <col min="14080" max="14080" width="36.7109375" customWidth="1"/>
    <col min="14081" max="14081" width="15.42578125" customWidth="1"/>
    <col min="14083" max="14083" width="16.7109375" customWidth="1"/>
    <col min="14084" max="14084" width="22.5703125" customWidth="1"/>
    <col min="14085" max="14085" width="17.5703125" customWidth="1"/>
    <col min="14087" max="14087" width="10.140625" bestFit="1" customWidth="1"/>
    <col min="14095" max="14098" width="12.85546875" bestFit="1" customWidth="1"/>
    <col min="14336" max="14336" width="36.7109375" customWidth="1"/>
    <col min="14337" max="14337" width="15.42578125" customWidth="1"/>
    <col min="14339" max="14339" width="16.7109375" customWidth="1"/>
    <col min="14340" max="14340" width="22.5703125" customWidth="1"/>
    <col min="14341" max="14341" width="17.5703125" customWidth="1"/>
    <col min="14343" max="14343" width="10.140625" bestFit="1" customWidth="1"/>
    <col min="14351" max="14354" width="12.85546875" bestFit="1" customWidth="1"/>
    <col min="14592" max="14592" width="36.7109375" customWidth="1"/>
    <col min="14593" max="14593" width="15.42578125" customWidth="1"/>
    <col min="14595" max="14595" width="16.7109375" customWidth="1"/>
    <col min="14596" max="14596" width="22.5703125" customWidth="1"/>
    <col min="14597" max="14597" width="17.5703125" customWidth="1"/>
    <col min="14599" max="14599" width="10.140625" bestFit="1" customWidth="1"/>
    <col min="14607" max="14610" width="12.85546875" bestFit="1" customWidth="1"/>
    <col min="14848" max="14848" width="36.7109375" customWidth="1"/>
    <col min="14849" max="14849" width="15.42578125" customWidth="1"/>
    <col min="14851" max="14851" width="16.7109375" customWidth="1"/>
    <col min="14852" max="14852" width="22.5703125" customWidth="1"/>
    <col min="14853" max="14853" width="17.5703125" customWidth="1"/>
    <col min="14855" max="14855" width="10.140625" bestFit="1" customWidth="1"/>
    <col min="14863" max="14866" width="12.85546875" bestFit="1" customWidth="1"/>
    <col min="15104" max="15104" width="36.7109375" customWidth="1"/>
    <col min="15105" max="15105" width="15.42578125" customWidth="1"/>
    <col min="15107" max="15107" width="16.7109375" customWidth="1"/>
    <col min="15108" max="15108" width="22.5703125" customWidth="1"/>
    <col min="15109" max="15109" width="17.5703125" customWidth="1"/>
    <col min="15111" max="15111" width="10.140625" bestFit="1" customWidth="1"/>
    <col min="15119" max="15122" width="12.85546875" bestFit="1" customWidth="1"/>
    <col min="15360" max="15360" width="36.7109375" customWidth="1"/>
    <col min="15361" max="15361" width="15.42578125" customWidth="1"/>
    <col min="15363" max="15363" width="16.7109375" customWidth="1"/>
    <col min="15364" max="15364" width="22.5703125" customWidth="1"/>
    <col min="15365" max="15365" width="17.5703125" customWidth="1"/>
    <col min="15367" max="15367" width="10.140625" bestFit="1" customWidth="1"/>
    <col min="15375" max="15378" width="12.85546875" bestFit="1" customWidth="1"/>
    <col min="15616" max="15616" width="36.7109375" customWidth="1"/>
    <col min="15617" max="15617" width="15.42578125" customWidth="1"/>
    <col min="15619" max="15619" width="16.7109375" customWidth="1"/>
    <col min="15620" max="15620" width="22.5703125" customWidth="1"/>
    <col min="15621" max="15621" width="17.5703125" customWidth="1"/>
    <col min="15623" max="15623" width="10.140625" bestFit="1" customWidth="1"/>
    <col min="15631" max="15634" width="12.85546875" bestFit="1" customWidth="1"/>
    <col min="15872" max="15872" width="36.7109375" customWidth="1"/>
    <col min="15873" max="15873" width="15.42578125" customWidth="1"/>
    <col min="15875" max="15875" width="16.7109375" customWidth="1"/>
    <col min="15876" max="15876" width="22.5703125" customWidth="1"/>
    <col min="15877" max="15877" width="17.5703125" customWidth="1"/>
    <col min="15879" max="15879" width="10.140625" bestFit="1" customWidth="1"/>
    <col min="15887" max="15890" width="12.85546875" bestFit="1" customWidth="1"/>
    <col min="16128" max="16128" width="36.7109375" customWidth="1"/>
    <col min="16129" max="16129" width="15.42578125" customWidth="1"/>
    <col min="16131" max="16131" width="16.7109375" customWidth="1"/>
    <col min="16132" max="16132" width="22.5703125" customWidth="1"/>
    <col min="16133" max="16133" width="17.5703125" customWidth="1"/>
    <col min="16135" max="16135" width="10.140625" bestFit="1" customWidth="1"/>
    <col min="16143" max="16146" width="12.85546875" bestFit="1" customWidth="1"/>
  </cols>
  <sheetData>
    <row r="1" spans="1:18" x14ac:dyDescent="0.25">
      <c r="B1" s="36"/>
      <c r="C1" s="37"/>
    </row>
    <row r="2" spans="1:18" ht="15.75" x14ac:dyDescent="0.25">
      <c r="F2" s="38"/>
    </row>
    <row r="3" spans="1:18" ht="30" x14ac:dyDescent="0.4">
      <c r="A3" s="818" t="s">
        <v>184</v>
      </c>
      <c r="B3" s="818"/>
      <c r="C3" s="818"/>
      <c r="D3" s="818"/>
      <c r="E3" s="818"/>
      <c r="F3" s="818"/>
      <c r="G3" s="818"/>
      <c r="H3" s="39"/>
    </row>
    <row r="4" spans="1:18" ht="18" x14ac:dyDescent="0.25">
      <c r="A4" s="40"/>
      <c r="F4" s="41"/>
    </row>
    <row r="5" spans="1:18" ht="18" x14ac:dyDescent="0.25">
      <c r="F5" s="42"/>
    </row>
    <row r="6" spans="1:18" ht="18.75" x14ac:dyDescent="0.3">
      <c r="F6" s="43"/>
    </row>
    <row r="7" spans="1:18" ht="16.5" thickBot="1" x14ac:dyDescent="0.3">
      <c r="F7" s="44" t="s">
        <v>127</v>
      </c>
      <c r="I7" s="46"/>
      <c r="J7" s="47"/>
      <c r="K7" s="48" t="s">
        <v>125</v>
      </c>
      <c r="L7" s="48" t="s">
        <v>3</v>
      </c>
      <c r="P7" s="49"/>
      <c r="Q7" s="49"/>
      <c r="R7" s="49"/>
    </row>
    <row r="8" spans="1:18" ht="17.25" thickTop="1" thickBot="1" x14ac:dyDescent="0.3">
      <c r="A8" s="50" t="s">
        <v>126</v>
      </c>
      <c r="B8" s="51">
        <f>'Spur-Netback'!C37</f>
        <v>45413</v>
      </c>
      <c r="C8" s="44"/>
      <c r="E8" s="56" t="s">
        <v>128</v>
      </c>
      <c r="F8" s="57">
        <f>B9</f>
        <v>21147</v>
      </c>
      <c r="G8" s="45" t="s">
        <v>130</v>
      </c>
      <c r="I8" s="52" t="s">
        <v>176</v>
      </c>
      <c r="J8" s="53"/>
      <c r="K8" s="54">
        <f>Inputs!C13</f>
        <v>730</v>
      </c>
      <c r="L8" s="54">
        <f>Inputs!C18</f>
        <v>924.4</v>
      </c>
    </row>
    <row r="9" spans="1:18" ht="17.25" thickTop="1" thickBot="1" x14ac:dyDescent="0.3">
      <c r="A9" s="50" t="s">
        <v>174</v>
      </c>
      <c r="B9" s="55">
        <f>Inputs!C5</f>
        <v>21147</v>
      </c>
      <c r="C9" s="1" t="s">
        <v>129</v>
      </c>
      <c r="E9" s="56" t="s">
        <v>132</v>
      </c>
      <c r="F9" s="59">
        <f>B36</f>
        <v>18.71842408749448</v>
      </c>
      <c r="G9" s="45" t="s">
        <v>112</v>
      </c>
      <c r="I9" s="52" t="s">
        <v>177</v>
      </c>
      <c r="J9" s="58"/>
      <c r="K9" s="58">
        <v>0.1</v>
      </c>
      <c r="L9" s="58">
        <v>4</v>
      </c>
    </row>
    <row r="10" spans="1:18" ht="17.25" thickTop="1" thickBot="1" x14ac:dyDescent="0.3">
      <c r="A10" s="50" t="s">
        <v>175</v>
      </c>
      <c r="B10" s="121">
        <f>Inputs!C16</f>
        <v>965</v>
      </c>
      <c r="C10" s="1" t="s">
        <v>131</v>
      </c>
      <c r="E10" s="56" t="s">
        <v>134</v>
      </c>
      <c r="F10" s="61">
        <f>((F9/100)*B9)/(1-F9/100)</f>
        <v>4869.9660376213778</v>
      </c>
      <c r="G10" s="45" t="s">
        <v>130</v>
      </c>
      <c r="I10" s="52" t="s">
        <v>34</v>
      </c>
      <c r="J10" s="60"/>
      <c r="K10" s="60">
        <f>_xlfn.XLOOKUP($B$8,MonthlyData!$B:$B,MonthlyData!$D:$D)</f>
        <v>78.62</v>
      </c>
      <c r="L10" s="60">
        <f>_xlfn.XLOOKUP($B$8,MonthlyData!$B:$B,MonthlyData!$D:$D)</f>
        <v>78.62</v>
      </c>
    </row>
    <row r="11" spans="1:18" ht="17.25" thickTop="1" thickBot="1" x14ac:dyDescent="0.3">
      <c r="A11" s="50" t="s">
        <v>133</v>
      </c>
      <c r="B11" s="122">
        <f>K8</f>
        <v>730</v>
      </c>
      <c r="C11" s="1" t="s">
        <v>131</v>
      </c>
      <c r="E11" s="56" t="s">
        <v>136</v>
      </c>
      <c r="F11" s="57">
        <f>(B9+F10)*B37/100</f>
        <v>95.362644376373723</v>
      </c>
      <c r="G11" s="45" t="s">
        <v>130</v>
      </c>
      <c r="I11" s="52" t="s">
        <v>48</v>
      </c>
      <c r="J11" s="124"/>
      <c r="K11" s="124">
        <f>_xlfn.XLOOKUP($B$8,MonthlyData!$B:$B,MonthlyData!$E:$E)</f>
        <v>1.3669500000000001</v>
      </c>
      <c r="L11" s="124">
        <f>_xlfn.XLOOKUP($B$8,MonthlyData!$B:$B,MonthlyData!$E:$E)</f>
        <v>1.3669500000000001</v>
      </c>
    </row>
    <row r="12" spans="1:18" ht="17.25" thickTop="1" thickBot="1" x14ac:dyDescent="0.3">
      <c r="A12" s="50" t="s">
        <v>135</v>
      </c>
      <c r="B12" s="55">
        <f>L8</f>
        <v>924.4</v>
      </c>
      <c r="C12" s="1" t="s">
        <v>131</v>
      </c>
      <c r="E12" s="56" t="s">
        <v>137</v>
      </c>
      <c r="F12" s="61">
        <f>B9+F10-F11</f>
        <v>25921.603393245005</v>
      </c>
      <c r="G12" s="45" t="s">
        <v>130</v>
      </c>
      <c r="I12" s="52" t="s">
        <v>178</v>
      </c>
      <c r="J12" s="60"/>
      <c r="K12" s="60">
        <f>_xlfn.XLOOKUP($B$8,MonthlyData!$B:$B,MonthlyData!$M:$M)</f>
        <v>-4.1900000000000004</v>
      </c>
      <c r="L12" s="60">
        <f>_xlfn.XLOOKUP($B$8,MonthlyData!$B:$B,MonthlyData!$BP:$BP)</f>
        <v>-12.82</v>
      </c>
    </row>
    <row r="13" spans="1:18" ht="15.75" thickTop="1" x14ac:dyDescent="0.25">
      <c r="C13" s="62"/>
      <c r="I13" s="52" t="s">
        <v>179</v>
      </c>
      <c r="J13" s="60"/>
      <c r="K13" s="60">
        <f>_xlfn.XLOOKUP($B$8,MonthlyData!$B:$B,MonthlyData!$X:$X)</f>
        <v>-4.2699999999999996</v>
      </c>
      <c r="L13" s="60">
        <v>0</v>
      </c>
    </row>
    <row r="14" spans="1:18" ht="15.75" x14ac:dyDescent="0.25">
      <c r="A14" s="123" t="s">
        <v>183</v>
      </c>
      <c r="C14" s="62"/>
      <c r="E14" s="56"/>
      <c r="F14" s="63"/>
      <c r="G14" s="45"/>
      <c r="I14" s="52" t="s">
        <v>139</v>
      </c>
      <c r="J14" s="64"/>
      <c r="K14" s="64">
        <f>K13+(K10+K12)*6.29287*K11</f>
        <v>635.97973645899503</v>
      </c>
      <c r="L14" s="64">
        <f>L13+(L10+L12)*6.2898105*L11</f>
        <v>565.73895526375509</v>
      </c>
    </row>
    <row r="15" spans="1:18" x14ac:dyDescent="0.25">
      <c r="A15" s="123" t="s">
        <v>182</v>
      </c>
      <c r="B15" s="67"/>
      <c r="E15" t="s">
        <v>140</v>
      </c>
      <c r="F15" s="65">
        <f>F10-F11</f>
        <v>4774.6033932450046</v>
      </c>
      <c r="I15" s="52" t="s">
        <v>141</v>
      </c>
      <c r="J15" s="66"/>
      <c r="K15" s="66">
        <f>(750-K8)*$B$18+(0.2-$K$9)*13.8</f>
        <v>4.78</v>
      </c>
      <c r="L15" s="66">
        <v>0</v>
      </c>
    </row>
    <row r="16" spans="1:18" x14ac:dyDescent="0.25">
      <c r="A16" s="123" t="s">
        <v>181</v>
      </c>
      <c r="E16" t="s">
        <v>142</v>
      </c>
      <c r="F16" s="67">
        <f>F11/F10*100</f>
        <v>1.9581788382029743</v>
      </c>
      <c r="I16" s="52" t="s">
        <v>143</v>
      </c>
      <c r="J16" s="68"/>
      <c r="K16" s="68"/>
      <c r="L16" s="68"/>
    </row>
    <row r="17" spans="1:18" x14ac:dyDescent="0.25">
      <c r="E17" t="s">
        <v>144</v>
      </c>
      <c r="F17" s="36">
        <f>(F19-F12)/F19*100</f>
        <v>0.3665402193264104</v>
      </c>
      <c r="H17" s="69"/>
      <c r="I17" s="52" t="s">
        <v>145</v>
      </c>
      <c r="J17" s="68"/>
      <c r="K17" s="68"/>
      <c r="L17" s="68"/>
    </row>
    <row r="18" spans="1:18" x14ac:dyDescent="0.25">
      <c r="A18" s="70" t="s">
        <v>146</v>
      </c>
      <c r="B18" s="71">
        <f>_xlfn.XLOOKUP($B$8,MonthlyData!$B:$B,MonthlyData!$Y:$Y)</f>
        <v>0.17</v>
      </c>
      <c r="E18" t="s">
        <v>147</v>
      </c>
      <c r="F18" s="36">
        <f>(F19-F12)/F12*100</f>
        <v>0.3678886792983877</v>
      </c>
      <c r="H18" s="69"/>
      <c r="I18" s="52" t="s">
        <v>148</v>
      </c>
      <c r="J18" s="68"/>
      <c r="K18" s="68"/>
      <c r="L18" s="68"/>
    </row>
    <row r="19" spans="1:18" x14ac:dyDescent="0.25">
      <c r="A19" s="70" t="s">
        <v>335</v>
      </c>
      <c r="B19" s="72">
        <v>0</v>
      </c>
      <c r="D19" s="73" t="s">
        <v>149</v>
      </c>
      <c r="E19" t="s">
        <v>150</v>
      </c>
      <c r="F19" s="65">
        <f>F8+F10</f>
        <v>26016.96603762138</v>
      </c>
      <c r="H19" s="69"/>
      <c r="I19" s="74" t="s">
        <v>9</v>
      </c>
      <c r="J19" s="75"/>
      <c r="K19" s="75">
        <f>SUM(K14:K18)</f>
        <v>640.75973645899501</v>
      </c>
      <c r="L19" s="75">
        <f>SUM(L14:L18)</f>
        <v>565.73895526375509</v>
      </c>
    </row>
    <row r="20" spans="1:18" x14ac:dyDescent="0.25">
      <c r="A20" s="73"/>
      <c r="E20" t="s">
        <v>151</v>
      </c>
      <c r="F20" s="67">
        <f>F10/F8*100</f>
        <v>23.02911069003347</v>
      </c>
      <c r="G20" s="67"/>
    </row>
    <row r="21" spans="1:18" x14ac:dyDescent="0.25">
      <c r="E21" t="s">
        <v>152</v>
      </c>
      <c r="F21" s="67">
        <f>F10/F12*100</f>
        <v>18.787287050655433</v>
      </c>
      <c r="G21" s="67"/>
      <c r="H21" s="67"/>
    </row>
    <row r="22" spans="1:18" x14ac:dyDescent="0.25">
      <c r="F22" s="67"/>
      <c r="G22" s="67"/>
      <c r="H22" s="67"/>
    </row>
    <row r="23" spans="1:18" x14ac:dyDescent="0.25">
      <c r="I23" s="70"/>
    </row>
    <row r="24" spans="1:18" x14ac:dyDescent="0.25">
      <c r="A24" s="76" t="s">
        <v>153</v>
      </c>
    </row>
    <row r="25" spans="1:18" ht="15.75" x14ac:dyDescent="0.25">
      <c r="A25" s="50" t="s">
        <v>154</v>
      </c>
      <c r="B25" s="36"/>
      <c r="D25" s="77" t="s">
        <v>155</v>
      </c>
      <c r="E25" s="77" t="s">
        <v>156</v>
      </c>
    </row>
    <row r="26" spans="1:18" x14ac:dyDescent="0.25">
      <c r="A26" t="s">
        <v>132</v>
      </c>
      <c r="B26" s="36">
        <f>((B10-B12)/(B10-B11))*100</f>
        <v>17.276595744680861</v>
      </c>
      <c r="C26" t="s">
        <v>112</v>
      </c>
      <c r="D26" s="78">
        <f>(B26/100*$B$9)/(1-B26/100)</f>
        <v>4416.5030864197561</v>
      </c>
      <c r="E26" s="78">
        <f>(D26*$B$11+$B$9*$B$10)/(D26+$B$9)/(1-B27/100)</f>
        <v>927.61948901611868</v>
      </c>
      <c r="N26" s="45"/>
    </row>
    <row r="27" spans="1:18" x14ac:dyDescent="0.25">
      <c r="A27" t="s">
        <v>157</v>
      </c>
      <c r="B27" s="36">
        <f>(0.0266*B26)-(0.0004*(POWER(B26,2)))+(0.000001339*(POWER(B26,3)))</f>
        <v>0.34707000599281485</v>
      </c>
      <c r="C27" t="s">
        <v>112</v>
      </c>
      <c r="D27" s="78">
        <f>(B9/(1-B26/100))*(B26/100)</f>
        <v>4416.5030864197561</v>
      </c>
      <c r="E27" s="78"/>
      <c r="N27" s="79"/>
      <c r="O27" s="79"/>
      <c r="P27" s="79"/>
      <c r="Q27" s="79"/>
    </row>
    <row r="28" spans="1:18" x14ac:dyDescent="0.25">
      <c r="A28" t="s">
        <v>132</v>
      </c>
      <c r="B28" s="36">
        <f>(((($B$10-$B$12)/($B$10-$B$11))+((B27/100)*$B$12)/($B$10-$B$11)))*100</f>
        <v>18.641836227828769</v>
      </c>
      <c r="C28" t="s">
        <v>112</v>
      </c>
      <c r="D28" s="78">
        <f>(B28/100*$B$9)/(1-B28/100)</f>
        <v>4845.4745342315427</v>
      </c>
      <c r="E28" s="78">
        <f>(D28*$B$11+$B$9*$B$10)/(D28+$B$9)/(1-B29/100)</f>
        <v>924.57136454904924</v>
      </c>
      <c r="N28" s="80"/>
      <c r="O28" s="79"/>
      <c r="P28" s="79"/>
      <c r="Q28" s="79"/>
      <c r="R28" s="79"/>
    </row>
    <row r="29" spans="1:18" x14ac:dyDescent="0.25">
      <c r="A29" t="s">
        <v>157</v>
      </c>
      <c r="B29" s="36">
        <f>(0.0266*B28)-(0.0004*(POWER(B28,2)))+(0.000001339*(POWER(B28,3)))</f>
        <v>0.36554016423549973</v>
      </c>
      <c r="C29" t="s">
        <v>112</v>
      </c>
      <c r="D29" s="78"/>
      <c r="E29" s="78"/>
      <c r="N29" s="80"/>
      <c r="O29" s="81"/>
      <c r="P29" s="81"/>
      <c r="Q29" s="81"/>
      <c r="R29" s="81"/>
    </row>
    <row r="30" spans="1:18" x14ac:dyDescent="0.25">
      <c r="A30" t="s">
        <v>132</v>
      </c>
      <c r="B30" s="36">
        <f>(((($B$10-$B$12)/($B$10-$B$11))+((B29/100)*$B$12)/($B$10-$B$11)))*100</f>
        <v>18.714490756677865</v>
      </c>
      <c r="C30" t="s">
        <v>112</v>
      </c>
      <c r="D30" s="78">
        <f>(B30/100*$B$9)/(1-B30/100)</f>
        <v>4868.7071006322003</v>
      </c>
      <c r="E30" s="78">
        <f>(D30*$B$11+$B$9*$B$10)/(D30+$B$9)/(1-B31/100)</f>
        <v>924.40880285785067</v>
      </c>
      <c r="N30" s="80"/>
      <c r="O30" s="81"/>
      <c r="P30" s="81"/>
      <c r="Q30" s="81"/>
      <c r="R30" s="81"/>
    </row>
    <row r="31" spans="1:18" x14ac:dyDescent="0.25">
      <c r="A31" t="s">
        <v>157</v>
      </c>
      <c r="B31" s="36">
        <f>(0.0266*B30)-(0.0004*(POWER(B30,2)))+(0.000001339*(POWER(B30,3)))</f>
        <v>0.3664889522438487</v>
      </c>
      <c r="C31" t="s">
        <v>112</v>
      </c>
      <c r="D31" s="78"/>
      <c r="E31" s="78"/>
      <c r="N31" s="80"/>
      <c r="O31" s="819"/>
      <c r="P31" s="819"/>
      <c r="Q31" s="819"/>
      <c r="R31" s="82"/>
    </row>
    <row r="32" spans="1:18" x14ac:dyDescent="0.25">
      <c r="A32" t="s">
        <v>132</v>
      </c>
      <c r="B32" s="36">
        <f>(((($B$10-$B$12)/($B$10-$B$11))+((B31/100)*$B$12)/($B$10-$B$11)))*100</f>
        <v>18.718222925337091</v>
      </c>
      <c r="C32" t="s">
        <v>112</v>
      </c>
      <c r="D32" s="78">
        <f>(B32/100*$B$9)/(1-B32/100)</f>
        <v>4869.9016489083697</v>
      </c>
      <c r="E32" s="78">
        <f>(D32*$B$11+$B$9*$B$10)/(D32+$B$9)/(1-B33/100)</f>
        <v>924.4004513321612</v>
      </c>
      <c r="N32" s="80"/>
      <c r="O32" s="81"/>
      <c r="P32" s="81"/>
      <c r="Q32" s="81"/>
      <c r="R32" s="81"/>
    </row>
    <row r="33" spans="1:19" x14ac:dyDescent="0.25">
      <c r="A33" t="s">
        <v>157</v>
      </c>
      <c r="B33" s="36">
        <f>(0.0266*B32)-(0.0004*(POWER(B32,2)))+(0.000001339*(POWER(B32,3)))</f>
        <v>0.36653759762021604</v>
      </c>
      <c r="C33" t="s">
        <v>112</v>
      </c>
      <c r="D33" s="78"/>
      <c r="E33" s="78"/>
      <c r="N33" s="80"/>
      <c r="O33" s="81"/>
      <c r="P33" s="81"/>
      <c r="Q33" s="81"/>
      <c r="R33" s="81"/>
    </row>
    <row r="34" spans="1:19" x14ac:dyDescent="0.25">
      <c r="A34" t="s">
        <v>132</v>
      </c>
      <c r="B34" s="36">
        <f>(((($B$10-$B$12)/($B$10-$B$11))+((B33/100)*$B$12)/($B$10-$B$11)))*100</f>
        <v>18.718414277617576</v>
      </c>
      <c r="C34" t="s">
        <v>112</v>
      </c>
      <c r="D34" s="78">
        <f>(B34/100*$B$9)/(1-B34/100)</f>
        <v>4869.9628976330041</v>
      </c>
      <c r="E34" s="78">
        <f>(D34*$B$11+$B$9*$B$10)/(D34+$B$9)/(1-B35/100)</f>
        <v>924.40002313802086</v>
      </c>
    </row>
    <row r="35" spans="1:19" x14ac:dyDescent="0.25">
      <c r="A35" t="s">
        <v>157</v>
      </c>
      <c r="B35" s="36">
        <f>(0.0266*B34)-(0.0004*(POWER(B34,2)))+(0.000001339*(POWER(B34,3)))</f>
        <v>0.36654009147684985</v>
      </c>
      <c r="C35" t="s">
        <v>112</v>
      </c>
      <c r="D35" s="78"/>
      <c r="E35" s="78"/>
      <c r="L35" s="83"/>
      <c r="N35" s="83"/>
    </row>
    <row r="36" spans="1:19" x14ac:dyDescent="0.25">
      <c r="A36" t="s">
        <v>132</v>
      </c>
      <c r="B36" s="36">
        <f>(((($B$10-$B$12)/($B$10-$B$11))+((B35/100)*$B$12)/($B$10-$B$11)))*100</f>
        <v>18.71842408749448</v>
      </c>
      <c r="C36" t="s">
        <v>112</v>
      </c>
      <c r="D36" s="78">
        <f>(B36/100*$B$9)/(1-B36/100)</f>
        <v>4869.9660376213778</v>
      </c>
      <c r="E36" s="78">
        <f>(D36*$B$11+$B$9*$B$10)/(D36+$B$9)/(1-B37/100)</f>
        <v>924.40000118618912</v>
      </c>
    </row>
    <row r="37" spans="1:19" x14ac:dyDescent="0.25">
      <c r="A37" t="s">
        <v>157</v>
      </c>
      <c r="B37" s="36">
        <f>(0.0266*B36)-(0.0004*(POWER(B36,2)))+(0.000001339*(POWER(B36,3)))</f>
        <v>0.36654021932640507</v>
      </c>
      <c r="C37" t="s">
        <v>112</v>
      </c>
      <c r="D37" s="78"/>
    </row>
    <row r="38" spans="1:19" x14ac:dyDescent="0.25">
      <c r="B38" s="36"/>
      <c r="C38" s="36"/>
    </row>
    <row r="39" spans="1:19" x14ac:dyDescent="0.25">
      <c r="A39" s="84" t="s">
        <v>158</v>
      </c>
      <c r="B39" s="36"/>
      <c r="C39" s="36"/>
      <c r="E39">
        <f>1/1.3378</f>
        <v>0.74749588877261175</v>
      </c>
    </row>
    <row r="40" spans="1:19" x14ac:dyDescent="0.25">
      <c r="A40" s="84"/>
      <c r="B40" s="36"/>
      <c r="C40" s="36"/>
    </row>
    <row r="41" spans="1:19" ht="15.75" x14ac:dyDescent="0.25">
      <c r="A41" s="85" t="s">
        <v>159</v>
      </c>
      <c r="B41" s="86">
        <f>$K$19</f>
        <v>640.75973645899501</v>
      </c>
      <c r="C41" s="87" t="s">
        <v>111</v>
      </c>
      <c r="D41" s="76"/>
      <c r="E41" s="76"/>
      <c r="F41" s="76"/>
      <c r="G41" s="76"/>
      <c r="H41" s="88"/>
      <c r="M41" s="89"/>
    </row>
    <row r="42" spans="1:19" ht="15.75" x14ac:dyDescent="0.25">
      <c r="A42" s="90" t="s">
        <v>443</v>
      </c>
      <c r="B42" s="91">
        <v>2</v>
      </c>
      <c r="C42" s="87" t="s">
        <v>111</v>
      </c>
      <c r="D42" s="76"/>
      <c r="E42" s="76"/>
      <c r="F42" s="76"/>
      <c r="G42" s="76"/>
      <c r="H42" s="88"/>
      <c r="M42" s="92"/>
      <c r="N42" s="93"/>
    </row>
    <row r="43" spans="1:19" ht="15.75" x14ac:dyDescent="0.25">
      <c r="A43" s="90" t="s">
        <v>444</v>
      </c>
      <c r="B43" s="91">
        <v>3.39</v>
      </c>
      <c r="C43" s="87" t="s">
        <v>111</v>
      </c>
      <c r="D43" s="94"/>
      <c r="E43" s="95"/>
      <c r="F43" s="96"/>
      <c r="G43" s="97"/>
      <c r="H43" s="88"/>
      <c r="I43" s="98"/>
      <c r="S43" s="93"/>
    </row>
    <row r="44" spans="1:19" ht="15.75" x14ac:dyDescent="0.25">
      <c r="A44" s="85" t="s">
        <v>160</v>
      </c>
      <c r="B44" s="99">
        <f>SUM(B41:B43)</f>
        <v>646.14973645899499</v>
      </c>
      <c r="C44" s="87" t="s">
        <v>111</v>
      </c>
      <c r="D44" s="100"/>
      <c r="E44" s="95"/>
      <c r="F44" s="96"/>
      <c r="G44" s="97"/>
      <c r="H44" s="88"/>
    </row>
    <row r="45" spans="1:19" ht="15.75" x14ac:dyDescent="0.25">
      <c r="A45" s="85"/>
      <c r="B45" s="99"/>
      <c r="C45" s="1"/>
      <c r="D45" s="100"/>
      <c r="E45" s="95"/>
      <c r="F45" s="96"/>
      <c r="G45" s="97"/>
      <c r="H45" s="88"/>
    </row>
    <row r="46" spans="1:19" ht="15.75" x14ac:dyDescent="0.25">
      <c r="A46" s="40" t="s">
        <v>161</v>
      </c>
      <c r="B46" s="86">
        <f>$L$19</f>
        <v>565.73895526375509</v>
      </c>
      <c r="C46" s="87" t="s">
        <v>111</v>
      </c>
      <c r="D46" s="100"/>
      <c r="E46" s="100"/>
      <c r="F46" s="100"/>
      <c r="G46" s="100"/>
      <c r="H46" s="100"/>
    </row>
    <row r="47" spans="1:19" x14ac:dyDescent="0.25">
      <c r="A47" s="101" t="s">
        <v>445</v>
      </c>
      <c r="B47" s="91">
        <v>0</v>
      </c>
      <c r="C47" s="87" t="s">
        <v>111</v>
      </c>
      <c r="D47" s="94"/>
      <c r="F47" s="102"/>
    </row>
    <row r="48" spans="1:19" x14ac:dyDescent="0.25">
      <c r="A48" s="101" t="s">
        <v>446</v>
      </c>
      <c r="B48" s="91">
        <v>0</v>
      </c>
      <c r="C48" s="87" t="s">
        <v>111</v>
      </c>
      <c r="D48" s="94"/>
      <c r="F48" s="102"/>
    </row>
    <row r="49" spans="1:9" x14ac:dyDescent="0.25">
      <c r="A49" s="101" t="s">
        <v>447</v>
      </c>
      <c r="B49" s="91">
        <v>0</v>
      </c>
      <c r="C49" s="87" t="s">
        <v>111</v>
      </c>
      <c r="D49" s="94"/>
      <c r="F49" s="102"/>
    </row>
    <row r="50" spans="1:9" x14ac:dyDescent="0.25">
      <c r="A50" s="40" t="s">
        <v>351</v>
      </c>
      <c r="B50" s="86">
        <f>SUM(B46:B49)</f>
        <v>565.73895526375509</v>
      </c>
      <c r="C50" s="87" t="s">
        <v>111</v>
      </c>
      <c r="D50" s="70"/>
      <c r="E50" s="79"/>
      <c r="G50" s="79"/>
    </row>
    <row r="51" spans="1:9" ht="16.5" thickBot="1" x14ac:dyDescent="0.3">
      <c r="A51" s="40"/>
      <c r="B51" s="99"/>
      <c r="D51" s="103"/>
      <c r="E51" s="104"/>
      <c r="F51" s="105"/>
      <c r="G51" s="104"/>
      <c r="H51" s="105"/>
    </row>
    <row r="52" spans="1:9" ht="15.75" x14ac:dyDescent="0.25">
      <c r="A52" s="40" t="s">
        <v>165</v>
      </c>
      <c r="B52" s="86">
        <f>B50*F12</f>
        <v>14664860.822455838</v>
      </c>
      <c r="C52" s="1" t="s">
        <v>166</v>
      </c>
      <c r="D52" s="106">
        <f>+B50*(F11/B9)</f>
        <v>2.5512064501195759</v>
      </c>
      <c r="E52" s="107" t="s">
        <v>25</v>
      </c>
      <c r="F52" s="105"/>
      <c r="G52" s="104"/>
      <c r="H52" s="105"/>
    </row>
    <row r="53" spans="1:9" ht="16.5" thickBot="1" x14ac:dyDescent="0.3">
      <c r="A53" s="40" t="s">
        <v>167</v>
      </c>
      <c r="B53" s="86">
        <f>F10*B44</f>
        <v>3146727.2717733094</v>
      </c>
      <c r="C53" s="1" t="s">
        <v>166</v>
      </c>
      <c r="D53" s="108">
        <f>+(B44-B50)*F10/F8</f>
        <v>18.517887808172418</v>
      </c>
      <c r="E53" s="109" t="s">
        <v>168</v>
      </c>
      <c r="F53" s="105"/>
      <c r="G53" s="110"/>
      <c r="H53" s="105"/>
    </row>
    <row r="54" spans="1:9" ht="15.75" x14ac:dyDescent="0.25">
      <c r="A54" s="40" t="s">
        <v>169</v>
      </c>
      <c r="B54" s="86">
        <f>(B52-B53)/B9</f>
        <v>544.66986100546319</v>
      </c>
      <c r="C54" s="1" t="s">
        <v>111</v>
      </c>
      <c r="D54" s="103"/>
      <c r="E54" s="104"/>
      <c r="F54" s="105"/>
      <c r="G54" s="110"/>
      <c r="H54" s="105"/>
    </row>
    <row r="55" spans="1:9" ht="15.75" x14ac:dyDescent="0.25">
      <c r="A55" s="85" t="s">
        <v>170</v>
      </c>
      <c r="B55" s="86">
        <f>-0.15%*B46</f>
        <v>-0.8486084328956327</v>
      </c>
      <c r="C55" s="1" t="s">
        <v>111</v>
      </c>
      <c r="D55" s="103"/>
      <c r="E55" s="104"/>
      <c r="F55" s="105"/>
      <c r="G55" s="110"/>
      <c r="H55" s="105"/>
    </row>
    <row r="56" spans="1:9" ht="15.75" x14ac:dyDescent="0.25">
      <c r="A56" s="70"/>
      <c r="B56" s="99"/>
      <c r="C56" s="1"/>
      <c r="D56" s="111"/>
      <c r="E56" s="73"/>
      <c r="F56" s="112"/>
      <c r="H56" s="112"/>
    </row>
    <row r="57" spans="1:9" ht="18" x14ac:dyDescent="0.25">
      <c r="A57" s="113" t="s">
        <v>171</v>
      </c>
      <c r="B57" s="114">
        <f>SUM(B54:B55)</f>
        <v>543.82125257256757</v>
      </c>
      <c r="C57" s="1" t="s">
        <v>111</v>
      </c>
      <c r="F57" s="115"/>
      <c r="H57" s="115"/>
    </row>
    <row r="58" spans="1:9" ht="15.75" x14ac:dyDescent="0.25">
      <c r="B58" s="116">
        <f>B57/6.29287/$L$11</f>
        <v>63.22004293643085</v>
      </c>
      <c r="C58" s="1" t="s">
        <v>109</v>
      </c>
      <c r="D58" s="117"/>
      <c r="E58" s="73"/>
      <c r="F58" s="115"/>
      <c r="H58" s="115"/>
      <c r="I58" s="73"/>
    </row>
    <row r="59" spans="1:9" ht="15.75" x14ac:dyDescent="0.25">
      <c r="B59" s="116">
        <f>B58-$J$10</f>
        <v>63.22004293643085</v>
      </c>
      <c r="C59" s="1" t="s">
        <v>172</v>
      </c>
      <c r="D59" s="117"/>
      <c r="F59" s="111"/>
      <c r="H59" s="111"/>
    </row>
    <row r="60" spans="1:9" ht="16.5" customHeight="1" x14ac:dyDescent="0.25">
      <c r="B60" s="1"/>
      <c r="C60" s="1"/>
      <c r="D60" s="111"/>
      <c r="F60" s="111"/>
      <c r="H60" s="111"/>
    </row>
    <row r="61" spans="1:9" x14ac:dyDescent="0.25">
      <c r="A61" s="79" t="s">
        <v>346</v>
      </c>
      <c r="B61" s="118">
        <f>-(B46-(B57-B49-B48-B47-B55))</f>
        <v>-21.069094258291898</v>
      </c>
      <c r="C61" s="119" t="s">
        <v>111</v>
      </c>
      <c r="D61" s="79"/>
    </row>
    <row r="62" spans="1:9" x14ac:dyDescent="0.25">
      <c r="A62" s="79" t="s">
        <v>347</v>
      </c>
      <c r="B62" s="120">
        <f>(B61*F8)/F12</f>
        <v>-17.188293853620397</v>
      </c>
      <c r="C62" s="119" t="s">
        <v>111</v>
      </c>
      <c r="D62" s="120"/>
      <c r="E62" s="76"/>
    </row>
    <row r="63" spans="1:9" x14ac:dyDescent="0.25">
      <c r="A63" s="764" t="s">
        <v>440</v>
      </c>
      <c r="B63" s="9">
        <f>-(B44*F10)/F12</f>
        <v>-121.39400576560497</v>
      </c>
      <c r="C63" s="119" t="s">
        <v>111</v>
      </c>
    </row>
    <row r="64" spans="1:9" x14ac:dyDescent="0.25">
      <c r="B64" s="36"/>
      <c r="C64" s="36"/>
    </row>
    <row r="65" spans="2:3" x14ac:dyDescent="0.25">
      <c r="B65" s="36"/>
      <c r="C65" s="36"/>
    </row>
    <row r="66" spans="2:3" x14ac:dyDescent="0.25">
      <c r="B66" s="36"/>
      <c r="C66" s="36"/>
    </row>
    <row r="67" spans="2:3" x14ac:dyDescent="0.25">
      <c r="B67" s="36"/>
      <c r="C67" s="36"/>
    </row>
    <row r="68" spans="2:3" x14ac:dyDescent="0.25">
      <c r="B68" s="36"/>
      <c r="C68" s="36"/>
    </row>
    <row r="69" spans="2:3" x14ac:dyDescent="0.25">
      <c r="B69" s="36"/>
      <c r="C69" s="36"/>
    </row>
    <row r="70" spans="2:3" x14ac:dyDescent="0.25">
      <c r="B70" s="36"/>
      <c r="C70" s="36"/>
    </row>
    <row r="71" spans="2:3" x14ac:dyDescent="0.25">
      <c r="B71" s="36"/>
      <c r="C71" s="36"/>
    </row>
  </sheetData>
  <mergeCells count="2">
    <mergeCell ref="A3:G3"/>
    <mergeCell ref="O31:Q31"/>
  </mergeCells>
  <phoneticPr fontId="5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0726-31D2-4331-AB7B-DE049B708D61}">
  <dimension ref="A1:S71"/>
  <sheetViews>
    <sheetView topLeftCell="A46" workbookViewId="0">
      <selection activeCell="L13" sqref="L13"/>
    </sheetView>
  </sheetViews>
  <sheetFormatPr defaultRowHeight="15" x14ac:dyDescent="0.2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3.85546875" bestFit="1" customWidth="1"/>
    <col min="11" max="11" width="14.42578125" customWidth="1"/>
    <col min="12" max="12" width="14.140625" customWidth="1"/>
    <col min="14" max="14" width="19.85546875" bestFit="1" customWidth="1"/>
    <col min="15" max="18" width="12.85546875" bestFit="1" customWidth="1"/>
    <col min="256" max="256" width="36.7109375" customWidth="1"/>
    <col min="257" max="257" width="15.42578125" customWidth="1"/>
    <col min="259" max="259" width="16.7109375" customWidth="1"/>
    <col min="260" max="260" width="22.5703125" customWidth="1"/>
    <col min="261" max="261" width="17.5703125" customWidth="1"/>
    <col min="263" max="263" width="10.140625" bestFit="1" customWidth="1"/>
    <col min="271" max="274" width="12.85546875" bestFit="1" customWidth="1"/>
    <col min="512" max="512" width="36.7109375" customWidth="1"/>
    <col min="513" max="513" width="15.42578125" customWidth="1"/>
    <col min="515" max="515" width="16.7109375" customWidth="1"/>
    <col min="516" max="516" width="22.5703125" customWidth="1"/>
    <col min="517" max="517" width="17.5703125" customWidth="1"/>
    <col min="519" max="519" width="10.140625" bestFit="1" customWidth="1"/>
    <col min="527" max="530" width="12.85546875" bestFit="1" customWidth="1"/>
    <col min="768" max="768" width="36.7109375" customWidth="1"/>
    <col min="769" max="769" width="15.42578125" customWidth="1"/>
    <col min="771" max="771" width="16.7109375" customWidth="1"/>
    <col min="772" max="772" width="22.5703125" customWidth="1"/>
    <col min="773" max="773" width="17.5703125" customWidth="1"/>
    <col min="775" max="775" width="10.140625" bestFit="1" customWidth="1"/>
    <col min="783" max="786" width="12.85546875" bestFit="1" customWidth="1"/>
    <col min="1024" max="1024" width="36.7109375" customWidth="1"/>
    <col min="1025" max="1025" width="15.42578125" customWidth="1"/>
    <col min="1027" max="1027" width="16.7109375" customWidth="1"/>
    <col min="1028" max="1028" width="22.5703125" customWidth="1"/>
    <col min="1029" max="1029" width="17.5703125" customWidth="1"/>
    <col min="1031" max="1031" width="10.140625" bestFit="1" customWidth="1"/>
    <col min="1039" max="1042" width="12.85546875" bestFit="1" customWidth="1"/>
    <col min="1280" max="1280" width="36.7109375" customWidth="1"/>
    <col min="1281" max="1281" width="15.42578125" customWidth="1"/>
    <col min="1283" max="1283" width="16.7109375" customWidth="1"/>
    <col min="1284" max="1284" width="22.5703125" customWidth="1"/>
    <col min="1285" max="1285" width="17.5703125" customWidth="1"/>
    <col min="1287" max="1287" width="10.140625" bestFit="1" customWidth="1"/>
    <col min="1295" max="1298" width="12.85546875" bestFit="1" customWidth="1"/>
    <col min="1536" max="1536" width="36.7109375" customWidth="1"/>
    <col min="1537" max="1537" width="15.42578125" customWidth="1"/>
    <col min="1539" max="1539" width="16.7109375" customWidth="1"/>
    <col min="1540" max="1540" width="22.5703125" customWidth="1"/>
    <col min="1541" max="1541" width="17.5703125" customWidth="1"/>
    <col min="1543" max="1543" width="10.140625" bestFit="1" customWidth="1"/>
    <col min="1551" max="1554" width="12.85546875" bestFit="1" customWidth="1"/>
    <col min="1792" max="1792" width="36.7109375" customWidth="1"/>
    <col min="1793" max="1793" width="15.42578125" customWidth="1"/>
    <col min="1795" max="1795" width="16.7109375" customWidth="1"/>
    <col min="1796" max="1796" width="22.5703125" customWidth="1"/>
    <col min="1797" max="1797" width="17.5703125" customWidth="1"/>
    <col min="1799" max="1799" width="10.140625" bestFit="1" customWidth="1"/>
    <col min="1807" max="1810" width="12.85546875" bestFit="1" customWidth="1"/>
    <col min="2048" max="2048" width="36.7109375" customWidth="1"/>
    <col min="2049" max="2049" width="15.42578125" customWidth="1"/>
    <col min="2051" max="2051" width="16.7109375" customWidth="1"/>
    <col min="2052" max="2052" width="22.5703125" customWidth="1"/>
    <col min="2053" max="2053" width="17.5703125" customWidth="1"/>
    <col min="2055" max="2055" width="10.140625" bestFit="1" customWidth="1"/>
    <col min="2063" max="2066" width="12.85546875" bestFit="1" customWidth="1"/>
    <col min="2304" max="2304" width="36.7109375" customWidth="1"/>
    <col min="2305" max="2305" width="15.42578125" customWidth="1"/>
    <col min="2307" max="2307" width="16.7109375" customWidth="1"/>
    <col min="2308" max="2308" width="22.5703125" customWidth="1"/>
    <col min="2309" max="2309" width="17.5703125" customWidth="1"/>
    <col min="2311" max="2311" width="10.140625" bestFit="1" customWidth="1"/>
    <col min="2319" max="2322" width="12.85546875" bestFit="1" customWidth="1"/>
    <col min="2560" max="2560" width="36.7109375" customWidth="1"/>
    <col min="2561" max="2561" width="15.42578125" customWidth="1"/>
    <col min="2563" max="2563" width="16.7109375" customWidth="1"/>
    <col min="2564" max="2564" width="22.5703125" customWidth="1"/>
    <col min="2565" max="2565" width="17.5703125" customWidth="1"/>
    <col min="2567" max="2567" width="10.140625" bestFit="1" customWidth="1"/>
    <col min="2575" max="2578" width="12.85546875" bestFit="1" customWidth="1"/>
    <col min="2816" max="2816" width="36.7109375" customWidth="1"/>
    <col min="2817" max="2817" width="15.42578125" customWidth="1"/>
    <col min="2819" max="2819" width="16.7109375" customWidth="1"/>
    <col min="2820" max="2820" width="22.5703125" customWidth="1"/>
    <col min="2821" max="2821" width="17.5703125" customWidth="1"/>
    <col min="2823" max="2823" width="10.140625" bestFit="1" customWidth="1"/>
    <col min="2831" max="2834" width="12.85546875" bestFit="1" customWidth="1"/>
    <col min="3072" max="3072" width="36.7109375" customWidth="1"/>
    <col min="3073" max="3073" width="15.42578125" customWidth="1"/>
    <col min="3075" max="3075" width="16.7109375" customWidth="1"/>
    <col min="3076" max="3076" width="22.5703125" customWidth="1"/>
    <col min="3077" max="3077" width="17.5703125" customWidth="1"/>
    <col min="3079" max="3079" width="10.140625" bestFit="1" customWidth="1"/>
    <col min="3087" max="3090" width="12.85546875" bestFit="1" customWidth="1"/>
    <col min="3328" max="3328" width="36.7109375" customWidth="1"/>
    <col min="3329" max="3329" width="15.42578125" customWidth="1"/>
    <col min="3331" max="3331" width="16.7109375" customWidth="1"/>
    <col min="3332" max="3332" width="22.5703125" customWidth="1"/>
    <col min="3333" max="3333" width="17.5703125" customWidth="1"/>
    <col min="3335" max="3335" width="10.140625" bestFit="1" customWidth="1"/>
    <col min="3343" max="3346" width="12.85546875" bestFit="1" customWidth="1"/>
    <col min="3584" max="3584" width="36.7109375" customWidth="1"/>
    <col min="3585" max="3585" width="15.42578125" customWidth="1"/>
    <col min="3587" max="3587" width="16.7109375" customWidth="1"/>
    <col min="3588" max="3588" width="22.5703125" customWidth="1"/>
    <col min="3589" max="3589" width="17.5703125" customWidth="1"/>
    <col min="3591" max="3591" width="10.140625" bestFit="1" customWidth="1"/>
    <col min="3599" max="3602" width="12.85546875" bestFit="1" customWidth="1"/>
    <col min="3840" max="3840" width="36.7109375" customWidth="1"/>
    <col min="3841" max="3841" width="15.42578125" customWidth="1"/>
    <col min="3843" max="3843" width="16.7109375" customWidth="1"/>
    <col min="3844" max="3844" width="22.5703125" customWidth="1"/>
    <col min="3845" max="3845" width="17.5703125" customWidth="1"/>
    <col min="3847" max="3847" width="10.140625" bestFit="1" customWidth="1"/>
    <col min="3855" max="3858" width="12.85546875" bestFit="1" customWidth="1"/>
    <col min="4096" max="4096" width="36.7109375" customWidth="1"/>
    <col min="4097" max="4097" width="15.42578125" customWidth="1"/>
    <col min="4099" max="4099" width="16.7109375" customWidth="1"/>
    <col min="4100" max="4100" width="22.5703125" customWidth="1"/>
    <col min="4101" max="4101" width="17.5703125" customWidth="1"/>
    <col min="4103" max="4103" width="10.140625" bestFit="1" customWidth="1"/>
    <col min="4111" max="4114" width="12.85546875" bestFit="1" customWidth="1"/>
    <col min="4352" max="4352" width="36.7109375" customWidth="1"/>
    <col min="4353" max="4353" width="15.42578125" customWidth="1"/>
    <col min="4355" max="4355" width="16.7109375" customWidth="1"/>
    <col min="4356" max="4356" width="22.5703125" customWidth="1"/>
    <col min="4357" max="4357" width="17.5703125" customWidth="1"/>
    <col min="4359" max="4359" width="10.140625" bestFit="1" customWidth="1"/>
    <col min="4367" max="4370" width="12.85546875" bestFit="1" customWidth="1"/>
    <col min="4608" max="4608" width="36.7109375" customWidth="1"/>
    <col min="4609" max="4609" width="15.42578125" customWidth="1"/>
    <col min="4611" max="4611" width="16.7109375" customWidth="1"/>
    <col min="4612" max="4612" width="22.5703125" customWidth="1"/>
    <col min="4613" max="4613" width="17.5703125" customWidth="1"/>
    <col min="4615" max="4615" width="10.140625" bestFit="1" customWidth="1"/>
    <col min="4623" max="4626" width="12.85546875" bestFit="1" customWidth="1"/>
    <col min="4864" max="4864" width="36.7109375" customWidth="1"/>
    <col min="4865" max="4865" width="15.42578125" customWidth="1"/>
    <col min="4867" max="4867" width="16.7109375" customWidth="1"/>
    <col min="4868" max="4868" width="22.5703125" customWidth="1"/>
    <col min="4869" max="4869" width="17.5703125" customWidth="1"/>
    <col min="4871" max="4871" width="10.140625" bestFit="1" customWidth="1"/>
    <col min="4879" max="4882" width="12.85546875" bestFit="1" customWidth="1"/>
    <col min="5120" max="5120" width="36.7109375" customWidth="1"/>
    <col min="5121" max="5121" width="15.42578125" customWidth="1"/>
    <col min="5123" max="5123" width="16.7109375" customWidth="1"/>
    <col min="5124" max="5124" width="22.5703125" customWidth="1"/>
    <col min="5125" max="5125" width="17.5703125" customWidth="1"/>
    <col min="5127" max="5127" width="10.140625" bestFit="1" customWidth="1"/>
    <col min="5135" max="5138" width="12.85546875" bestFit="1" customWidth="1"/>
    <col min="5376" max="5376" width="36.7109375" customWidth="1"/>
    <col min="5377" max="5377" width="15.42578125" customWidth="1"/>
    <col min="5379" max="5379" width="16.7109375" customWidth="1"/>
    <col min="5380" max="5380" width="22.5703125" customWidth="1"/>
    <col min="5381" max="5381" width="17.5703125" customWidth="1"/>
    <col min="5383" max="5383" width="10.140625" bestFit="1" customWidth="1"/>
    <col min="5391" max="5394" width="12.85546875" bestFit="1" customWidth="1"/>
    <col min="5632" max="5632" width="36.7109375" customWidth="1"/>
    <col min="5633" max="5633" width="15.42578125" customWidth="1"/>
    <col min="5635" max="5635" width="16.7109375" customWidth="1"/>
    <col min="5636" max="5636" width="22.5703125" customWidth="1"/>
    <col min="5637" max="5637" width="17.5703125" customWidth="1"/>
    <col min="5639" max="5639" width="10.140625" bestFit="1" customWidth="1"/>
    <col min="5647" max="5650" width="12.85546875" bestFit="1" customWidth="1"/>
    <col min="5888" max="5888" width="36.7109375" customWidth="1"/>
    <col min="5889" max="5889" width="15.42578125" customWidth="1"/>
    <col min="5891" max="5891" width="16.7109375" customWidth="1"/>
    <col min="5892" max="5892" width="22.5703125" customWidth="1"/>
    <col min="5893" max="5893" width="17.5703125" customWidth="1"/>
    <col min="5895" max="5895" width="10.140625" bestFit="1" customWidth="1"/>
    <col min="5903" max="5906" width="12.85546875" bestFit="1" customWidth="1"/>
    <col min="6144" max="6144" width="36.7109375" customWidth="1"/>
    <col min="6145" max="6145" width="15.42578125" customWidth="1"/>
    <col min="6147" max="6147" width="16.7109375" customWidth="1"/>
    <col min="6148" max="6148" width="22.5703125" customWidth="1"/>
    <col min="6149" max="6149" width="17.5703125" customWidth="1"/>
    <col min="6151" max="6151" width="10.140625" bestFit="1" customWidth="1"/>
    <col min="6159" max="6162" width="12.85546875" bestFit="1" customWidth="1"/>
    <col min="6400" max="6400" width="36.7109375" customWidth="1"/>
    <col min="6401" max="6401" width="15.42578125" customWidth="1"/>
    <col min="6403" max="6403" width="16.7109375" customWidth="1"/>
    <col min="6404" max="6404" width="22.5703125" customWidth="1"/>
    <col min="6405" max="6405" width="17.5703125" customWidth="1"/>
    <col min="6407" max="6407" width="10.140625" bestFit="1" customWidth="1"/>
    <col min="6415" max="6418" width="12.85546875" bestFit="1" customWidth="1"/>
    <col min="6656" max="6656" width="36.7109375" customWidth="1"/>
    <col min="6657" max="6657" width="15.42578125" customWidth="1"/>
    <col min="6659" max="6659" width="16.7109375" customWidth="1"/>
    <col min="6660" max="6660" width="22.5703125" customWidth="1"/>
    <col min="6661" max="6661" width="17.5703125" customWidth="1"/>
    <col min="6663" max="6663" width="10.140625" bestFit="1" customWidth="1"/>
    <col min="6671" max="6674" width="12.85546875" bestFit="1" customWidth="1"/>
    <col min="6912" max="6912" width="36.7109375" customWidth="1"/>
    <col min="6913" max="6913" width="15.42578125" customWidth="1"/>
    <col min="6915" max="6915" width="16.7109375" customWidth="1"/>
    <col min="6916" max="6916" width="22.5703125" customWidth="1"/>
    <col min="6917" max="6917" width="17.5703125" customWidth="1"/>
    <col min="6919" max="6919" width="10.140625" bestFit="1" customWidth="1"/>
    <col min="6927" max="6930" width="12.85546875" bestFit="1" customWidth="1"/>
    <col min="7168" max="7168" width="36.7109375" customWidth="1"/>
    <col min="7169" max="7169" width="15.42578125" customWidth="1"/>
    <col min="7171" max="7171" width="16.7109375" customWidth="1"/>
    <col min="7172" max="7172" width="22.5703125" customWidth="1"/>
    <col min="7173" max="7173" width="17.5703125" customWidth="1"/>
    <col min="7175" max="7175" width="10.140625" bestFit="1" customWidth="1"/>
    <col min="7183" max="7186" width="12.85546875" bestFit="1" customWidth="1"/>
    <col min="7424" max="7424" width="36.7109375" customWidth="1"/>
    <col min="7425" max="7425" width="15.42578125" customWidth="1"/>
    <col min="7427" max="7427" width="16.7109375" customWidth="1"/>
    <col min="7428" max="7428" width="22.5703125" customWidth="1"/>
    <col min="7429" max="7429" width="17.5703125" customWidth="1"/>
    <col min="7431" max="7431" width="10.140625" bestFit="1" customWidth="1"/>
    <col min="7439" max="7442" width="12.85546875" bestFit="1" customWidth="1"/>
    <col min="7680" max="7680" width="36.7109375" customWidth="1"/>
    <col min="7681" max="7681" width="15.42578125" customWidth="1"/>
    <col min="7683" max="7683" width="16.7109375" customWidth="1"/>
    <col min="7684" max="7684" width="22.5703125" customWidth="1"/>
    <col min="7685" max="7685" width="17.5703125" customWidth="1"/>
    <col min="7687" max="7687" width="10.140625" bestFit="1" customWidth="1"/>
    <col min="7695" max="7698" width="12.85546875" bestFit="1" customWidth="1"/>
    <col min="7936" max="7936" width="36.7109375" customWidth="1"/>
    <col min="7937" max="7937" width="15.42578125" customWidth="1"/>
    <col min="7939" max="7939" width="16.7109375" customWidth="1"/>
    <col min="7940" max="7940" width="22.5703125" customWidth="1"/>
    <col min="7941" max="7941" width="17.5703125" customWidth="1"/>
    <col min="7943" max="7943" width="10.140625" bestFit="1" customWidth="1"/>
    <col min="7951" max="7954" width="12.85546875" bestFit="1" customWidth="1"/>
    <col min="8192" max="8192" width="36.7109375" customWidth="1"/>
    <col min="8193" max="8193" width="15.42578125" customWidth="1"/>
    <col min="8195" max="8195" width="16.7109375" customWidth="1"/>
    <col min="8196" max="8196" width="22.5703125" customWidth="1"/>
    <col min="8197" max="8197" width="17.5703125" customWidth="1"/>
    <col min="8199" max="8199" width="10.140625" bestFit="1" customWidth="1"/>
    <col min="8207" max="8210" width="12.85546875" bestFit="1" customWidth="1"/>
    <col min="8448" max="8448" width="36.7109375" customWidth="1"/>
    <col min="8449" max="8449" width="15.42578125" customWidth="1"/>
    <col min="8451" max="8451" width="16.7109375" customWidth="1"/>
    <col min="8452" max="8452" width="22.5703125" customWidth="1"/>
    <col min="8453" max="8453" width="17.5703125" customWidth="1"/>
    <col min="8455" max="8455" width="10.140625" bestFit="1" customWidth="1"/>
    <col min="8463" max="8466" width="12.85546875" bestFit="1" customWidth="1"/>
    <col min="8704" max="8704" width="36.7109375" customWidth="1"/>
    <col min="8705" max="8705" width="15.42578125" customWidth="1"/>
    <col min="8707" max="8707" width="16.7109375" customWidth="1"/>
    <col min="8708" max="8708" width="22.5703125" customWidth="1"/>
    <col min="8709" max="8709" width="17.5703125" customWidth="1"/>
    <col min="8711" max="8711" width="10.140625" bestFit="1" customWidth="1"/>
    <col min="8719" max="8722" width="12.85546875" bestFit="1" customWidth="1"/>
    <col min="8960" max="8960" width="36.7109375" customWidth="1"/>
    <col min="8961" max="8961" width="15.42578125" customWidth="1"/>
    <col min="8963" max="8963" width="16.7109375" customWidth="1"/>
    <col min="8964" max="8964" width="22.5703125" customWidth="1"/>
    <col min="8965" max="8965" width="17.5703125" customWidth="1"/>
    <col min="8967" max="8967" width="10.140625" bestFit="1" customWidth="1"/>
    <col min="8975" max="8978" width="12.85546875" bestFit="1" customWidth="1"/>
    <col min="9216" max="9216" width="36.7109375" customWidth="1"/>
    <col min="9217" max="9217" width="15.42578125" customWidth="1"/>
    <col min="9219" max="9219" width="16.7109375" customWidth="1"/>
    <col min="9220" max="9220" width="22.5703125" customWidth="1"/>
    <col min="9221" max="9221" width="17.5703125" customWidth="1"/>
    <col min="9223" max="9223" width="10.140625" bestFit="1" customWidth="1"/>
    <col min="9231" max="9234" width="12.85546875" bestFit="1" customWidth="1"/>
    <col min="9472" max="9472" width="36.7109375" customWidth="1"/>
    <col min="9473" max="9473" width="15.42578125" customWidth="1"/>
    <col min="9475" max="9475" width="16.7109375" customWidth="1"/>
    <col min="9476" max="9476" width="22.5703125" customWidth="1"/>
    <col min="9477" max="9477" width="17.5703125" customWidth="1"/>
    <col min="9479" max="9479" width="10.140625" bestFit="1" customWidth="1"/>
    <col min="9487" max="9490" width="12.85546875" bestFit="1" customWidth="1"/>
    <col min="9728" max="9728" width="36.7109375" customWidth="1"/>
    <col min="9729" max="9729" width="15.42578125" customWidth="1"/>
    <col min="9731" max="9731" width="16.7109375" customWidth="1"/>
    <col min="9732" max="9732" width="22.5703125" customWidth="1"/>
    <col min="9733" max="9733" width="17.5703125" customWidth="1"/>
    <col min="9735" max="9735" width="10.140625" bestFit="1" customWidth="1"/>
    <col min="9743" max="9746" width="12.85546875" bestFit="1" customWidth="1"/>
    <col min="9984" max="9984" width="36.7109375" customWidth="1"/>
    <col min="9985" max="9985" width="15.42578125" customWidth="1"/>
    <col min="9987" max="9987" width="16.7109375" customWidth="1"/>
    <col min="9988" max="9988" width="22.5703125" customWidth="1"/>
    <col min="9989" max="9989" width="17.5703125" customWidth="1"/>
    <col min="9991" max="9991" width="10.140625" bestFit="1" customWidth="1"/>
    <col min="9999" max="10002" width="12.85546875" bestFit="1" customWidth="1"/>
    <col min="10240" max="10240" width="36.7109375" customWidth="1"/>
    <col min="10241" max="10241" width="15.42578125" customWidth="1"/>
    <col min="10243" max="10243" width="16.7109375" customWidth="1"/>
    <col min="10244" max="10244" width="22.5703125" customWidth="1"/>
    <col min="10245" max="10245" width="17.5703125" customWidth="1"/>
    <col min="10247" max="10247" width="10.140625" bestFit="1" customWidth="1"/>
    <col min="10255" max="10258" width="12.85546875" bestFit="1" customWidth="1"/>
    <col min="10496" max="10496" width="36.7109375" customWidth="1"/>
    <col min="10497" max="10497" width="15.42578125" customWidth="1"/>
    <col min="10499" max="10499" width="16.7109375" customWidth="1"/>
    <col min="10500" max="10500" width="22.5703125" customWidth="1"/>
    <col min="10501" max="10501" width="17.5703125" customWidth="1"/>
    <col min="10503" max="10503" width="10.140625" bestFit="1" customWidth="1"/>
    <col min="10511" max="10514" width="12.85546875" bestFit="1" customWidth="1"/>
    <col min="10752" max="10752" width="36.7109375" customWidth="1"/>
    <col min="10753" max="10753" width="15.42578125" customWidth="1"/>
    <col min="10755" max="10755" width="16.7109375" customWidth="1"/>
    <col min="10756" max="10756" width="22.5703125" customWidth="1"/>
    <col min="10757" max="10757" width="17.5703125" customWidth="1"/>
    <col min="10759" max="10759" width="10.140625" bestFit="1" customWidth="1"/>
    <col min="10767" max="10770" width="12.85546875" bestFit="1" customWidth="1"/>
    <col min="11008" max="11008" width="36.7109375" customWidth="1"/>
    <col min="11009" max="11009" width="15.42578125" customWidth="1"/>
    <col min="11011" max="11011" width="16.7109375" customWidth="1"/>
    <col min="11012" max="11012" width="22.5703125" customWidth="1"/>
    <col min="11013" max="11013" width="17.5703125" customWidth="1"/>
    <col min="11015" max="11015" width="10.140625" bestFit="1" customWidth="1"/>
    <col min="11023" max="11026" width="12.85546875" bestFit="1" customWidth="1"/>
    <col min="11264" max="11264" width="36.7109375" customWidth="1"/>
    <col min="11265" max="11265" width="15.42578125" customWidth="1"/>
    <col min="11267" max="11267" width="16.7109375" customWidth="1"/>
    <col min="11268" max="11268" width="22.5703125" customWidth="1"/>
    <col min="11269" max="11269" width="17.5703125" customWidth="1"/>
    <col min="11271" max="11271" width="10.140625" bestFit="1" customWidth="1"/>
    <col min="11279" max="11282" width="12.85546875" bestFit="1" customWidth="1"/>
    <col min="11520" max="11520" width="36.7109375" customWidth="1"/>
    <col min="11521" max="11521" width="15.42578125" customWidth="1"/>
    <col min="11523" max="11523" width="16.7109375" customWidth="1"/>
    <col min="11524" max="11524" width="22.5703125" customWidth="1"/>
    <col min="11525" max="11525" width="17.5703125" customWidth="1"/>
    <col min="11527" max="11527" width="10.140625" bestFit="1" customWidth="1"/>
    <col min="11535" max="11538" width="12.85546875" bestFit="1" customWidth="1"/>
    <col min="11776" max="11776" width="36.7109375" customWidth="1"/>
    <col min="11777" max="11777" width="15.42578125" customWidth="1"/>
    <col min="11779" max="11779" width="16.7109375" customWidth="1"/>
    <col min="11780" max="11780" width="22.5703125" customWidth="1"/>
    <col min="11781" max="11781" width="17.5703125" customWidth="1"/>
    <col min="11783" max="11783" width="10.140625" bestFit="1" customWidth="1"/>
    <col min="11791" max="11794" width="12.85546875" bestFit="1" customWidth="1"/>
    <col min="12032" max="12032" width="36.7109375" customWidth="1"/>
    <col min="12033" max="12033" width="15.42578125" customWidth="1"/>
    <col min="12035" max="12035" width="16.7109375" customWidth="1"/>
    <col min="12036" max="12036" width="22.5703125" customWidth="1"/>
    <col min="12037" max="12037" width="17.5703125" customWidth="1"/>
    <col min="12039" max="12039" width="10.140625" bestFit="1" customWidth="1"/>
    <col min="12047" max="12050" width="12.85546875" bestFit="1" customWidth="1"/>
    <col min="12288" max="12288" width="36.7109375" customWidth="1"/>
    <col min="12289" max="12289" width="15.42578125" customWidth="1"/>
    <col min="12291" max="12291" width="16.7109375" customWidth="1"/>
    <col min="12292" max="12292" width="22.5703125" customWidth="1"/>
    <col min="12293" max="12293" width="17.5703125" customWidth="1"/>
    <col min="12295" max="12295" width="10.140625" bestFit="1" customWidth="1"/>
    <col min="12303" max="12306" width="12.85546875" bestFit="1" customWidth="1"/>
    <col min="12544" max="12544" width="36.7109375" customWidth="1"/>
    <col min="12545" max="12545" width="15.42578125" customWidth="1"/>
    <col min="12547" max="12547" width="16.7109375" customWidth="1"/>
    <col min="12548" max="12548" width="22.5703125" customWidth="1"/>
    <col min="12549" max="12549" width="17.5703125" customWidth="1"/>
    <col min="12551" max="12551" width="10.140625" bestFit="1" customWidth="1"/>
    <col min="12559" max="12562" width="12.85546875" bestFit="1" customWidth="1"/>
    <col min="12800" max="12800" width="36.7109375" customWidth="1"/>
    <col min="12801" max="12801" width="15.42578125" customWidth="1"/>
    <col min="12803" max="12803" width="16.7109375" customWidth="1"/>
    <col min="12804" max="12804" width="22.5703125" customWidth="1"/>
    <col min="12805" max="12805" width="17.5703125" customWidth="1"/>
    <col min="12807" max="12807" width="10.140625" bestFit="1" customWidth="1"/>
    <col min="12815" max="12818" width="12.85546875" bestFit="1" customWidth="1"/>
    <col min="13056" max="13056" width="36.7109375" customWidth="1"/>
    <col min="13057" max="13057" width="15.42578125" customWidth="1"/>
    <col min="13059" max="13059" width="16.7109375" customWidth="1"/>
    <col min="13060" max="13060" width="22.5703125" customWidth="1"/>
    <col min="13061" max="13061" width="17.5703125" customWidth="1"/>
    <col min="13063" max="13063" width="10.140625" bestFit="1" customWidth="1"/>
    <col min="13071" max="13074" width="12.85546875" bestFit="1" customWidth="1"/>
    <col min="13312" max="13312" width="36.7109375" customWidth="1"/>
    <col min="13313" max="13313" width="15.42578125" customWidth="1"/>
    <col min="13315" max="13315" width="16.7109375" customWidth="1"/>
    <col min="13316" max="13316" width="22.5703125" customWidth="1"/>
    <col min="13317" max="13317" width="17.5703125" customWidth="1"/>
    <col min="13319" max="13319" width="10.140625" bestFit="1" customWidth="1"/>
    <col min="13327" max="13330" width="12.85546875" bestFit="1" customWidth="1"/>
    <col min="13568" max="13568" width="36.7109375" customWidth="1"/>
    <col min="13569" max="13569" width="15.42578125" customWidth="1"/>
    <col min="13571" max="13571" width="16.7109375" customWidth="1"/>
    <col min="13572" max="13572" width="22.5703125" customWidth="1"/>
    <col min="13573" max="13573" width="17.5703125" customWidth="1"/>
    <col min="13575" max="13575" width="10.140625" bestFit="1" customWidth="1"/>
    <col min="13583" max="13586" width="12.85546875" bestFit="1" customWidth="1"/>
    <col min="13824" max="13824" width="36.7109375" customWidth="1"/>
    <col min="13825" max="13825" width="15.42578125" customWidth="1"/>
    <col min="13827" max="13827" width="16.7109375" customWidth="1"/>
    <col min="13828" max="13828" width="22.5703125" customWidth="1"/>
    <col min="13829" max="13829" width="17.5703125" customWidth="1"/>
    <col min="13831" max="13831" width="10.140625" bestFit="1" customWidth="1"/>
    <col min="13839" max="13842" width="12.85546875" bestFit="1" customWidth="1"/>
    <col min="14080" max="14080" width="36.7109375" customWidth="1"/>
    <col min="14081" max="14081" width="15.42578125" customWidth="1"/>
    <col min="14083" max="14083" width="16.7109375" customWidth="1"/>
    <col min="14084" max="14084" width="22.5703125" customWidth="1"/>
    <col min="14085" max="14085" width="17.5703125" customWidth="1"/>
    <col min="14087" max="14087" width="10.140625" bestFit="1" customWidth="1"/>
    <col min="14095" max="14098" width="12.85546875" bestFit="1" customWidth="1"/>
    <col min="14336" max="14336" width="36.7109375" customWidth="1"/>
    <col min="14337" max="14337" width="15.42578125" customWidth="1"/>
    <col min="14339" max="14339" width="16.7109375" customWidth="1"/>
    <col min="14340" max="14340" width="22.5703125" customWidth="1"/>
    <col min="14341" max="14341" width="17.5703125" customWidth="1"/>
    <col min="14343" max="14343" width="10.140625" bestFit="1" customWidth="1"/>
    <col min="14351" max="14354" width="12.85546875" bestFit="1" customWidth="1"/>
    <col min="14592" max="14592" width="36.7109375" customWidth="1"/>
    <col min="14593" max="14593" width="15.42578125" customWidth="1"/>
    <col min="14595" max="14595" width="16.7109375" customWidth="1"/>
    <col min="14596" max="14596" width="22.5703125" customWidth="1"/>
    <col min="14597" max="14597" width="17.5703125" customWidth="1"/>
    <col min="14599" max="14599" width="10.140625" bestFit="1" customWidth="1"/>
    <col min="14607" max="14610" width="12.85546875" bestFit="1" customWidth="1"/>
    <col min="14848" max="14848" width="36.7109375" customWidth="1"/>
    <col min="14849" max="14849" width="15.42578125" customWidth="1"/>
    <col min="14851" max="14851" width="16.7109375" customWidth="1"/>
    <col min="14852" max="14852" width="22.5703125" customWidth="1"/>
    <col min="14853" max="14853" width="17.5703125" customWidth="1"/>
    <col min="14855" max="14855" width="10.140625" bestFit="1" customWidth="1"/>
    <col min="14863" max="14866" width="12.85546875" bestFit="1" customWidth="1"/>
    <col min="15104" max="15104" width="36.7109375" customWidth="1"/>
    <col min="15105" max="15105" width="15.42578125" customWidth="1"/>
    <col min="15107" max="15107" width="16.7109375" customWidth="1"/>
    <col min="15108" max="15108" width="22.5703125" customWidth="1"/>
    <col min="15109" max="15109" width="17.5703125" customWidth="1"/>
    <col min="15111" max="15111" width="10.140625" bestFit="1" customWidth="1"/>
    <col min="15119" max="15122" width="12.85546875" bestFit="1" customWidth="1"/>
    <col min="15360" max="15360" width="36.7109375" customWidth="1"/>
    <col min="15361" max="15361" width="15.42578125" customWidth="1"/>
    <col min="15363" max="15363" width="16.7109375" customWidth="1"/>
    <col min="15364" max="15364" width="22.5703125" customWidth="1"/>
    <col min="15365" max="15365" width="17.5703125" customWidth="1"/>
    <col min="15367" max="15367" width="10.140625" bestFit="1" customWidth="1"/>
    <col min="15375" max="15378" width="12.85546875" bestFit="1" customWidth="1"/>
    <col min="15616" max="15616" width="36.7109375" customWidth="1"/>
    <col min="15617" max="15617" width="15.42578125" customWidth="1"/>
    <col min="15619" max="15619" width="16.7109375" customWidth="1"/>
    <col min="15620" max="15620" width="22.5703125" customWidth="1"/>
    <col min="15621" max="15621" width="17.5703125" customWidth="1"/>
    <col min="15623" max="15623" width="10.140625" bestFit="1" customWidth="1"/>
    <col min="15631" max="15634" width="12.85546875" bestFit="1" customWidth="1"/>
    <col min="15872" max="15872" width="36.7109375" customWidth="1"/>
    <col min="15873" max="15873" width="15.42578125" customWidth="1"/>
    <col min="15875" max="15875" width="16.7109375" customWidth="1"/>
    <col min="15876" max="15876" width="22.5703125" customWidth="1"/>
    <col min="15877" max="15877" width="17.5703125" customWidth="1"/>
    <col min="15879" max="15879" width="10.140625" bestFit="1" customWidth="1"/>
    <col min="15887" max="15890" width="12.85546875" bestFit="1" customWidth="1"/>
    <col min="16128" max="16128" width="36.7109375" customWidth="1"/>
    <col min="16129" max="16129" width="15.42578125" customWidth="1"/>
    <col min="16131" max="16131" width="16.7109375" customWidth="1"/>
    <col min="16132" max="16132" width="22.5703125" customWidth="1"/>
    <col min="16133" max="16133" width="17.5703125" customWidth="1"/>
    <col min="16135" max="16135" width="10.140625" bestFit="1" customWidth="1"/>
    <col min="16143" max="16146" width="12.85546875" bestFit="1" customWidth="1"/>
  </cols>
  <sheetData>
    <row r="1" spans="1:18" x14ac:dyDescent="0.25">
      <c r="B1" s="36"/>
      <c r="C1" s="37"/>
    </row>
    <row r="2" spans="1:18" ht="15.75" x14ac:dyDescent="0.25">
      <c r="F2" s="38"/>
    </row>
    <row r="3" spans="1:18" ht="30" x14ac:dyDescent="0.4">
      <c r="A3" s="818" t="s">
        <v>184</v>
      </c>
      <c r="B3" s="818"/>
      <c r="C3" s="818"/>
      <c r="D3" s="818"/>
      <c r="E3" s="818"/>
      <c r="F3" s="818"/>
      <c r="G3" s="818"/>
      <c r="H3" s="39"/>
    </row>
    <row r="4" spans="1:18" ht="18" x14ac:dyDescent="0.25">
      <c r="A4" s="40"/>
      <c r="F4" s="41"/>
    </row>
    <row r="5" spans="1:18" ht="18" x14ac:dyDescent="0.25">
      <c r="F5" s="42"/>
    </row>
    <row r="6" spans="1:18" ht="18.75" x14ac:dyDescent="0.3">
      <c r="F6" s="43"/>
    </row>
    <row r="7" spans="1:18" ht="16.5" thickBot="1" x14ac:dyDescent="0.3">
      <c r="F7" s="44" t="s">
        <v>127</v>
      </c>
      <c r="I7" s="46"/>
      <c r="J7" s="47"/>
      <c r="K7" s="48" t="s">
        <v>125</v>
      </c>
      <c r="L7" s="48" t="s">
        <v>4</v>
      </c>
      <c r="P7" s="49"/>
      <c r="Q7" s="49"/>
      <c r="R7" s="49"/>
    </row>
    <row r="8" spans="1:18" ht="17.25" thickTop="1" thickBot="1" x14ac:dyDescent="0.3">
      <c r="A8" s="50" t="s">
        <v>126</v>
      </c>
      <c r="B8" s="51">
        <f>'Spur-Netback'!C37</f>
        <v>45413</v>
      </c>
      <c r="C8" s="44"/>
      <c r="E8" s="56" t="s">
        <v>128</v>
      </c>
      <c r="F8" s="57">
        <f>B9</f>
        <v>21147</v>
      </c>
      <c r="G8" s="45" t="s">
        <v>130</v>
      </c>
      <c r="I8" s="52" t="s">
        <v>176</v>
      </c>
      <c r="J8" s="53"/>
      <c r="K8" s="54">
        <f>Inputs!C13</f>
        <v>730</v>
      </c>
      <c r="L8" s="795">
        <f>_xlfn.XLOOKUP($B$8,MonthlyData!$B:$B,MonthlyData!$AD:$AD)</f>
        <v>924.8</v>
      </c>
    </row>
    <row r="9" spans="1:18" ht="17.25" thickTop="1" thickBot="1" x14ac:dyDescent="0.3">
      <c r="A9" s="50" t="s">
        <v>174</v>
      </c>
      <c r="B9" s="55">
        <f>Inputs!C5</f>
        <v>21147</v>
      </c>
      <c r="C9" s="1" t="s">
        <v>129</v>
      </c>
      <c r="E9" s="56" t="s">
        <v>132</v>
      </c>
      <c r="F9" s="59">
        <f>B36</f>
        <v>18.539624012164261</v>
      </c>
      <c r="G9" s="45" t="s">
        <v>112</v>
      </c>
      <c r="I9" s="52" t="s">
        <v>177</v>
      </c>
      <c r="J9" s="58"/>
      <c r="K9" s="58">
        <v>0.1</v>
      </c>
      <c r="L9" s="58">
        <v>4</v>
      </c>
    </row>
    <row r="10" spans="1:18" ht="17.25" thickTop="1" thickBot="1" x14ac:dyDescent="0.3">
      <c r="A10" s="50" t="s">
        <v>175</v>
      </c>
      <c r="B10" s="121">
        <f>Inputs!C16</f>
        <v>965</v>
      </c>
      <c r="C10" s="1" t="s">
        <v>131</v>
      </c>
      <c r="E10" s="56" t="s">
        <v>134</v>
      </c>
      <c r="F10" s="61">
        <f>((F9/100)*B9)/(1-F9/100)</f>
        <v>4812.8605377881204</v>
      </c>
      <c r="G10" s="45" t="s">
        <v>130</v>
      </c>
      <c r="I10" s="52" t="s">
        <v>34</v>
      </c>
      <c r="J10" s="60"/>
      <c r="K10" s="60">
        <f>_xlfn.XLOOKUP($B$8,MonthlyData!$B:$B,MonthlyData!$D:$D)</f>
        <v>78.62</v>
      </c>
      <c r="L10" s="60">
        <f>_xlfn.XLOOKUP($B$8,MonthlyData!$B:$B,MonthlyData!$D:$D)</f>
        <v>78.62</v>
      </c>
    </row>
    <row r="11" spans="1:18" ht="17.25" thickTop="1" thickBot="1" x14ac:dyDescent="0.3">
      <c r="A11" s="50" t="s">
        <v>133</v>
      </c>
      <c r="B11" s="122">
        <f>K8</f>
        <v>730</v>
      </c>
      <c r="C11" s="1" t="s">
        <v>131</v>
      </c>
      <c r="E11" s="56" t="s">
        <v>136</v>
      </c>
      <c r="F11" s="57">
        <f>(B9+F10)*B37/100</f>
        <v>94.545701430005209</v>
      </c>
      <c r="G11" s="45" t="s">
        <v>130</v>
      </c>
      <c r="I11" s="52" t="s">
        <v>48</v>
      </c>
      <c r="J11" s="124"/>
      <c r="K11" s="124">
        <f>_xlfn.XLOOKUP($B$8,MonthlyData!$B:$B,MonthlyData!$E:$E)</f>
        <v>1.3669500000000001</v>
      </c>
      <c r="L11" s="124">
        <f>_xlfn.XLOOKUP($B$8,MonthlyData!$B:$B,MonthlyData!$E:$E)</f>
        <v>1.3669500000000001</v>
      </c>
    </row>
    <row r="12" spans="1:18" ht="17.25" thickTop="1" thickBot="1" x14ac:dyDescent="0.3">
      <c r="A12" s="50" t="s">
        <v>135</v>
      </c>
      <c r="B12" s="55">
        <f>L8</f>
        <v>924.8</v>
      </c>
      <c r="C12" s="1" t="s">
        <v>131</v>
      </c>
      <c r="E12" s="56" t="s">
        <v>137</v>
      </c>
      <c r="F12" s="61">
        <f>B9+F10-F11</f>
        <v>25865.314836358117</v>
      </c>
      <c r="G12" s="45" t="s">
        <v>130</v>
      </c>
      <c r="I12" s="52" t="s">
        <v>178</v>
      </c>
      <c r="J12" s="60"/>
      <c r="K12" s="60">
        <f>_xlfn.XLOOKUP($B$8,MonthlyData!$B:$B,MonthlyData!$M:$M)</f>
        <v>-4.1900000000000004</v>
      </c>
      <c r="L12" s="60">
        <f>_xlfn.XLOOKUP($B$8,MonthlyData!$B:$B,MonthlyData!$AA:$AA)</f>
        <v>-13.07</v>
      </c>
    </row>
    <row r="13" spans="1:18" ht="15.75" thickTop="1" x14ac:dyDescent="0.25">
      <c r="C13" s="62"/>
      <c r="I13" s="52" t="s">
        <v>179</v>
      </c>
      <c r="J13" s="60"/>
      <c r="K13" s="60">
        <f>_xlfn.XLOOKUP($B$8,MonthlyData!$B:$B,MonthlyData!$X:$X)</f>
        <v>-4.2699999999999996</v>
      </c>
      <c r="L13" s="60">
        <v>0</v>
      </c>
    </row>
    <row r="14" spans="1:18" ht="15.75" x14ac:dyDescent="0.25">
      <c r="A14" s="123" t="s">
        <v>183</v>
      </c>
      <c r="C14" s="62"/>
      <c r="E14" s="56"/>
      <c r="F14" s="63"/>
      <c r="G14" s="45"/>
      <c r="I14" s="52" t="s">
        <v>139</v>
      </c>
      <c r="J14" s="64"/>
      <c r="K14" s="64">
        <f>K13+(K10+K12)*6.29287*K11</f>
        <v>635.97973645899503</v>
      </c>
      <c r="L14" s="64">
        <f>L13+(L10+L12)*6.2898105*L11</f>
        <v>563.58949114801135</v>
      </c>
    </row>
    <row r="15" spans="1:18" x14ac:dyDescent="0.25">
      <c r="A15" s="123" t="s">
        <v>182</v>
      </c>
      <c r="B15" s="67"/>
      <c r="E15" t="s">
        <v>140</v>
      </c>
      <c r="F15" s="65">
        <f>F10-F11</f>
        <v>4718.3148363581149</v>
      </c>
      <c r="I15" s="52" t="s">
        <v>141</v>
      </c>
      <c r="J15" s="66"/>
      <c r="K15" s="66">
        <f>(750-K8)*$B$18+(0.2-$K$9)*13.8</f>
        <v>4.78</v>
      </c>
      <c r="L15" s="66">
        <v>0</v>
      </c>
    </row>
    <row r="16" spans="1:18" x14ac:dyDescent="0.25">
      <c r="A16" s="123" t="s">
        <v>181</v>
      </c>
      <c r="E16" t="s">
        <v>142</v>
      </c>
      <c r="F16" s="67">
        <f>F11/F10*100</f>
        <v>1.9644388339882426</v>
      </c>
      <c r="I16" s="52" t="s">
        <v>143</v>
      </c>
      <c r="J16" s="68"/>
      <c r="K16" s="68"/>
      <c r="L16" s="68"/>
    </row>
    <row r="17" spans="1:18" x14ac:dyDescent="0.25">
      <c r="E17" t="s">
        <v>144</v>
      </c>
      <c r="F17" s="36">
        <f>(F19-F12)/F19*100</f>
        <v>0.36419957377036127</v>
      </c>
      <c r="H17" s="69"/>
      <c r="I17" s="52" t="s">
        <v>145</v>
      </c>
      <c r="J17" s="68"/>
      <c r="K17" s="68"/>
      <c r="L17" s="68"/>
    </row>
    <row r="18" spans="1:18" x14ac:dyDescent="0.25">
      <c r="A18" s="70" t="s">
        <v>146</v>
      </c>
      <c r="B18" s="71">
        <f>_xlfn.XLOOKUP($B$8,MonthlyData!$B:$B,MonthlyData!$Y:$Y)</f>
        <v>0.17</v>
      </c>
      <c r="E18" t="s">
        <v>147</v>
      </c>
      <c r="F18" s="36">
        <f>(F19-F12)/F12*100</f>
        <v>0.36553083551530724</v>
      </c>
      <c r="H18" s="69"/>
      <c r="I18" s="52" t="s">
        <v>148</v>
      </c>
      <c r="J18" s="68"/>
      <c r="K18" s="68"/>
      <c r="L18" s="68"/>
    </row>
    <row r="19" spans="1:18" x14ac:dyDescent="0.25">
      <c r="A19" s="70" t="s">
        <v>335</v>
      </c>
      <c r="B19" s="72">
        <v>0</v>
      </c>
      <c r="D19" s="73" t="s">
        <v>149</v>
      </c>
      <c r="E19" t="s">
        <v>150</v>
      </c>
      <c r="F19" s="65">
        <f>F8+F10</f>
        <v>25959.860537788121</v>
      </c>
      <c r="H19" s="69"/>
      <c r="I19" s="74" t="s">
        <v>9</v>
      </c>
      <c r="J19" s="75"/>
      <c r="K19" s="75">
        <f>SUM(K14:K18)</f>
        <v>640.75973645899501</v>
      </c>
      <c r="L19" s="75">
        <f>SUM(L14:L18)</f>
        <v>563.58949114801135</v>
      </c>
    </row>
    <row r="20" spans="1:18" x14ac:dyDescent="0.25">
      <c r="A20" s="73"/>
      <c r="E20" t="s">
        <v>151</v>
      </c>
      <c r="F20" s="67">
        <f>F10/F8*100</f>
        <v>22.759070023114958</v>
      </c>
      <c r="G20" s="67"/>
    </row>
    <row r="21" spans="1:18" x14ac:dyDescent="0.25">
      <c r="E21" t="s">
        <v>152</v>
      </c>
      <c r="F21" s="67">
        <f>F10/F12*100</f>
        <v>18.607392054717319</v>
      </c>
      <c r="G21" s="67"/>
      <c r="H21" s="67"/>
    </row>
    <row r="22" spans="1:18" x14ac:dyDescent="0.25">
      <c r="F22" s="67"/>
      <c r="G22" s="67"/>
      <c r="H22" s="67"/>
    </row>
    <row r="23" spans="1:18" x14ac:dyDescent="0.25">
      <c r="I23" s="70"/>
    </row>
    <row r="24" spans="1:18" x14ac:dyDescent="0.25">
      <c r="A24" s="76" t="s">
        <v>153</v>
      </c>
    </row>
    <row r="25" spans="1:18" ht="15.75" x14ac:dyDescent="0.25">
      <c r="A25" s="50" t="s">
        <v>154</v>
      </c>
      <c r="B25" s="36"/>
      <c r="D25" s="77" t="s">
        <v>155</v>
      </c>
      <c r="E25" s="77" t="s">
        <v>156</v>
      </c>
    </row>
    <row r="26" spans="1:18" x14ac:dyDescent="0.25">
      <c r="A26" t="s">
        <v>132</v>
      </c>
      <c r="B26" s="36">
        <f>((B10-B12)/(B10-B11))*100</f>
        <v>17.106382978723424</v>
      </c>
      <c r="C26" t="s">
        <v>112</v>
      </c>
      <c r="D26" s="78">
        <f>(B26/100*$B$9)/(1-B26/100)</f>
        <v>4364.0112936345031</v>
      </c>
      <c r="E26" s="78">
        <f>(D26*$B$11+$B$9*$B$10)/(D26+$B$9)/(1-B27/100)</f>
        <v>927.99863715993968</v>
      </c>
      <c r="N26" s="45"/>
    </row>
    <row r="27" spans="1:18" x14ac:dyDescent="0.25">
      <c r="A27" t="s">
        <v>157</v>
      </c>
      <c r="B27" s="36">
        <f>(0.0266*B26)-(0.0004*(POWER(B26,2)))+(0.000001339*(POWER(B26,3)))</f>
        <v>0.34468123463294287</v>
      </c>
      <c r="C27" t="s">
        <v>112</v>
      </c>
      <c r="D27" s="78">
        <f>(B9/(1-B26/100))*(B26/100)</f>
        <v>4364.0112936345031</v>
      </c>
      <c r="E27" s="78"/>
      <c r="N27" s="79"/>
      <c r="O27" s="79"/>
      <c r="P27" s="79"/>
      <c r="Q27" s="79"/>
    </row>
    <row r="28" spans="1:18" x14ac:dyDescent="0.25">
      <c r="A28" t="s">
        <v>132</v>
      </c>
      <c r="B28" s="36">
        <f>(((($B$10-$B$12)/($B$10-$B$11))+((B27/100)*$B$12)/($B$10-$B$11)))*100</f>
        <v>18.462813641653401</v>
      </c>
      <c r="C28" t="s">
        <v>112</v>
      </c>
      <c r="D28" s="78">
        <f>(B28/100*$B$9)/(1-B28/100)</f>
        <v>4788.405603844798</v>
      </c>
      <c r="E28" s="78">
        <f>(D28*$B$11+$B$9*$B$10)/(D28+$B$9)/(1-B29/100)</f>
        <v>924.97177138459222</v>
      </c>
      <c r="N28" s="80"/>
      <c r="O28" s="79"/>
      <c r="P28" s="79"/>
      <c r="Q28" s="79"/>
      <c r="R28" s="79"/>
    </row>
    <row r="29" spans="1:18" x14ac:dyDescent="0.25">
      <c r="A29" t="s">
        <v>157</v>
      </c>
      <c r="B29" s="36">
        <f>(0.0266*B28)-(0.0004*(POWER(B28,2)))+(0.000001339*(POWER(B28,3)))</f>
        <v>0.36318767192741774</v>
      </c>
      <c r="C29" t="s">
        <v>112</v>
      </c>
      <c r="D29" s="78"/>
      <c r="E29" s="78"/>
      <c r="N29" s="80"/>
      <c r="O29" s="81"/>
      <c r="P29" s="81"/>
      <c r="Q29" s="81"/>
      <c r="R29" s="81"/>
    </row>
    <row r="30" spans="1:18" x14ac:dyDescent="0.25">
      <c r="A30" t="s">
        <v>132</v>
      </c>
      <c r="B30" s="36">
        <f>(((($B$10-$B$12)/($B$10-$B$11))+((B29/100)*$B$12)/($B$10-$B$11)))*100</f>
        <v>18.535642378716936</v>
      </c>
      <c r="C30" t="s">
        <v>112</v>
      </c>
      <c r="D30" s="78">
        <f>(B30/100*$B$9)/(1-B30/100)</f>
        <v>4811.5917295384352</v>
      </c>
      <c r="E30" s="78">
        <f>(D30*$B$11+$B$9*$B$10)/(D30+$B$9)/(1-B31/100)</f>
        <v>924.80890627754025</v>
      </c>
      <c r="N30" s="80"/>
      <c r="O30" s="81"/>
      <c r="P30" s="81"/>
      <c r="Q30" s="81"/>
      <c r="R30" s="81"/>
    </row>
    <row r="31" spans="1:18" x14ac:dyDescent="0.25">
      <c r="A31" t="s">
        <v>157</v>
      </c>
      <c r="B31" s="36">
        <f>(0.0266*B30)-(0.0004*(POWER(B30,2)))+(0.000001339*(POWER(B30,3)))</f>
        <v>0.3641472140531502</v>
      </c>
      <c r="C31" t="s">
        <v>112</v>
      </c>
      <c r="D31" s="78"/>
      <c r="E31" s="78"/>
      <c r="N31" s="80"/>
      <c r="O31" s="819"/>
      <c r="P31" s="819"/>
      <c r="Q31" s="819"/>
      <c r="R31" s="82"/>
    </row>
    <row r="32" spans="1:18" x14ac:dyDescent="0.25">
      <c r="A32" t="s">
        <v>132</v>
      </c>
      <c r="B32" s="36">
        <f>(((($B$10-$B$12)/($B$10-$B$11))+((B31/100)*$B$12)/($B$10-$B$11)))*100</f>
        <v>18.539418483218544</v>
      </c>
      <c r="C32" t="s">
        <v>112</v>
      </c>
      <c r="D32" s="78">
        <f>(B32/100*$B$9)/(1-B32/100)</f>
        <v>4812.7950398175935</v>
      </c>
      <c r="E32" s="78">
        <f>(D32*$B$11+$B$9*$B$10)/(D32+$B$9)/(1-B33/100)</f>
        <v>924.80046090840278</v>
      </c>
      <c r="N32" s="80"/>
      <c r="O32" s="81"/>
      <c r="P32" s="81"/>
      <c r="Q32" s="81"/>
      <c r="R32" s="81"/>
    </row>
    <row r="33" spans="1:19" x14ac:dyDescent="0.25">
      <c r="A33" t="s">
        <v>157</v>
      </c>
      <c r="B33" s="36">
        <f>(0.0266*B32)-(0.0004*(POWER(B32,2)))+(0.000001339*(POWER(B32,3)))</f>
        <v>0.36419687125349981</v>
      </c>
      <c r="C33" t="s">
        <v>112</v>
      </c>
      <c r="D33" s="78"/>
      <c r="E33" s="78"/>
      <c r="N33" s="80"/>
      <c r="O33" s="81"/>
      <c r="P33" s="81"/>
      <c r="Q33" s="81"/>
      <c r="R33" s="81"/>
    </row>
    <row r="34" spans="1:19" x14ac:dyDescent="0.25">
      <c r="A34" t="s">
        <v>132</v>
      </c>
      <c r="B34" s="36">
        <f>(((($B$10-$B$12)/($B$10-$B$11))+((B33/100)*$B$12)/($B$10-$B$11)))*100</f>
        <v>18.539613900149963</v>
      </c>
      <c r="C34" t="s">
        <v>112</v>
      </c>
      <c r="D34" s="78">
        <f>(B34/100*$B$9)/(1-B34/100)</f>
        <v>4812.8573152833733</v>
      </c>
      <c r="E34" s="78">
        <f>(D34*$B$11+$B$9*$B$10)/(D34+$B$9)/(1-B35/100)</f>
        <v>924.80002385009539</v>
      </c>
    </row>
    <row r="35" spans="1:19" x14ac:dyDescent="0.25">
      <c r="A35" t="s">
        <v>157</v>
      </c>
      <c r="B35" s="36">
        <f>(0.0266*B34)-(0.0004*(POWER(B34,2)))+(0.000001339*(POWER(B34,3)))</f>
        <v>0.3641994408073066</v>
      </c>
      <c r="C35" t="s">
        <v>112</v>
      </c>
      <c r="D35" s="78"/>
      <c r="E35" s="78"/>
      <c r="L35" s="83"/>
      <c r="N35" s="83"/>
    </row>
    <row r="36" spans="1:19" x14ac:dyDescent="0.25">
      <c r="A36" t="s">
        <v>132</v>
      </c>
      <c r="B36" s="36">
        <f>(((($B$10-$B$12)/($B$10-$B$11))+((B35/100)*$B$12)/($B$10-$B$11)))*100</f>
        <v>18.539624012164261</v>
      </c>
      <c r="C36" t="s">
        <v>112</v>
      </c>
      <c r="D36" s="78">
        <f>(B36/100*$B$9)/(1-B36/100)</f>
        <v>4812.8605377881204</v>
      </c>
      <c r="E36" s="78">
        <f>(D36*$B$11+$B$9*$B$10)/(D36+$B$9)/(1-B37/100)</f>
        <v>924.80000123413697</v>
      </c>
    </row>
    <row r="37" spans="1:19" x14ac:dyDescent="0.25">
      <c r="A37" t="s">
        <v>157</v>
      </c>
      <c r="B37" s="36">
        <f>(0.0266*B36)-(0.0004*(POWER(B36,2)))+(0.000001339*(POWER(B36,3)))</f>
        <v>0.36419957377036377</v>
      </c>
      <c r="C37" t="s">
        <v>112</v>
      </c>
      <c r="D37" s="78"/>
    </row>
    <row r="38" spans="1:19" x14ac:dyDescent="0.25">
      <c r="B38" s="36"/>
      <c r="C38" s="36"/>
    </row>
    <row r="39" spans="1:19" x14ac:dyDescent="0.25">
      <c r="A39" s="84" t="s">
        <v>158</v>
      </c>
      <c r="B39" s="36"/>
      <c r="C39" s="36"/>
      <c r="E39">
        <f>1/1.3378</f>
        <v>0.74749588877261175</v>
      </c>
    </row>
    <row r="40" spans="1:19" x14ac:dyDescent="0.25">
      <c r="A40" s="84"/>
      <c r="B40" s="36"/>
      <c r="C40" s="36"/>
    </row>
    <row r="41" spans="1:19" ht="15.75" x14ac:dyDescent="0.25">
      <c r="A41" s="85" t="s">
        <v>159</v>
      </c>
      <c r="B41" s="86">
        <f>$K$19</f>
        <v>640.75973645899501</v>
      </c>
      <c r="C41" s="87" t="s">
        <v>111</v>
      </c>
      <c r="D41" s="76"/>
      <c r="E41" s="76"/>
      <c r="F41" s="76"/>
      <c r="G41" s="76"/>
      <c r="H41" s="88"/>
      <c r="M41" s="89"/>
    </row>
    <row r="42" spans="1:19" ht="15.75" x14ac:dyDescent="0.25">
      <c r="A42" s="90" t="s">
        <v>443</v>
      </c>
      <c r="B42" s="91">
        <v>2</v>
      </c>
      <c r="C42" s="87" t="s">
        <v>111</v>
      </c>
      <c r="D42" s="76"/>
      <c r="E42" s="76"/>
      <c r="F42" s="76"/>
      <c r="G42" s="76"/>
      <c r="H42" s="88"/>
      <c r="M42" s="92"/>
      <c r="N42" s="93"/>
    </row>
    <row r="43" spans="1:19" ht="15.75" x14ac:dyDescent="0.25">
      <c r="A43" s="90" t="s">
        <v>444</v>
      </c>
      <c r="B43" s="91">
        <v>3.39</v>
      </c>
      <c r="C43" s="87" t="s">
        <v>111</v>
      </c>
      <c r="D43" s="94"/>
      <c r="E43" s="95"/>
      <c r="F43" s="96"/>
      <c r="G43" s="97"/>
      <c r="H43" s="88"/>
      <c r="I43" s="98"/>
      <c r="S43" s="93"/>
    </row>
    <row r="44" spans="1:19" ht="15.75" x14ac:dyDescent="0.25">
      <c r="A44" s="85" t="s">
        <v>160</v>
      </c>
      <c r="B44" s="99">
        <f>SUM(B41:B43)</f>
        <v>646.14973645899499</v>
      </c>
      <c r="C44" s="87" t="s">
        <v>111</v>
      </c>
      <c r="D44" s="100"/>
      <c r="E44" s="95"/>
      <c r="F44" s="96"/>
      <c r="G44" s="97"/>
      <c r="H44" s="88"/>
    </row>
    <row r="45" spans="1:19" ht="15.75" x14ac:dyDescent="0.25">
      <c r="A45" s="85"/>
      <c r="B45" s="99"/>
      <c r="C45" s="1"/>
      <c r="D45" s="100"/>
      <c r="E45" s="95"/>
      <c r="F45" s="96"/>
      <c r="G45" s="97"/>
      <c r="H45" s="88"/>
    </row>
    <row r="46" spans="1:19" ht="15.75" x14ac:dyDescent="0.25">
      <c r="A46" s="40" t="s">
        <v>161</v>
      </c>
      <c r="B46" s="86">
        <f>$L$19</f>
        <v>563.58949114801135</v>
      </c>
      <c r="C46" s="87" t="s">
        <v>111</v>
      </c>
      <c r="D46" s="100"/>
      <c r="E46" s="100"/>
      <c r="F46" s="100"/>
      <c r="G46" s="100"/>
      <c r="H46" s="100"/>
    </row>
    <row r="47" spans="1:19" x14ac:dyDescent="0.25">
      <c r="A47" s="101" t="s">
        <v>445</v>
      </c>
      <c r="B47" s="91">
        <v>0</v>
      </c>
      <c r="C47" s="87" t="s">
        <v>111</v>
      </c>
      <c r="D47" s="94"/>
      <c r="F47" s="102"/>
    </row>
    <row r="48" spans="1:19" x14ac:dyDescent="0.25">
      <c r="A48" s="101" t="s">
        <v>446</v>
      </c>
      <c r="B48" s="91">
        <v>0</v>
      </c>
      <c r="C48" s="87" t="s">
        <v>111</v>
      </c>
      <c r="D48" s="94"/>
      <c r="F48" s="102"/>
    </row>
    <row r="49" spans="1:9" x14ac:dyDescent="0.25">
      <c r="A49" s="101" t="s">
        <v>447</v>
      </c>
      <c r="B49" s="91">
        <v>0</v>
      </c>
      <c r="C49" s="87" t="s">
        <v>111</v>
      </c>
      <c r="D49" s="94"/>
      <c r="F49" s="102"/>
    </row>
    <row r="50" spans="1:9" x14ac:dyDescent="0.25">
      <c r="A50" s="40" t="s">
        <v>351</v>
      </c>
      <c r="B50" s="86">
        <f>SUM(B46:B49)</f>
        <v>563.58949114801135</v>
      </c>
      <c r="C50" s="87" t="s">
        <v>111</v>
      </c>
      <c r="D50" s="70"/>
      <c r="E50" s="79"/>
      <c r="G50" s="79"/>
    </row>
    <row r="51" spans="1:9" ht="16.5" thickBot="1" x14ac:dyDescent="0.3">
      <c r="A51" s="40"/>
      <c r="B51" s="99"/>
      <c r="D51" s="103"/>
      <c r="E51" s="104"/>
      <c r="F51" s="105"/>
      <c r="G51" s="104"/>
      <c r="H51" s="105"/>
    </row>
    <row r="52" spans="1:9" ht="15.75" x14ac:dyDescent="0.25">
      <c r="A52" s="40" t="s">
        <v>165</v>
      </c>
      <c r="B52" s="86">
        <f>B50*F12</f>
        <v>14577419.627006179</v>
      </c>
      <c r="C52" s="1" t="s">
        <v>166</v>
      </c>
      <c r="D52" s="106">
        <f>+B50*(F11/B9)</f>
        <v>2.5197410393516075</v>
      </c>
      <c r="E52" s="107" t="s">
        <v>25</v>
      </c>
      <c r="F52" s="105"/>
      <c r="G52" s="104"/>
      <c r="H52" s="105"/>
    </row>
    <row r="53" spans="1:9" ht="16.5" thickBot="1" x14ac:dyDescent="0.3">
      <c r="A53" s="40" t="s">
        <v>167</v>
      </c>
      <c r="B53" s="86">
        <f>F10*B44</f>
        <v>3109828.5681056911</v>
      </c>
      <c r="C53" s="1" t="s">
        <v>166</v>
      </c>
      <c r="D53" s="108">
        <f>+(B44-B50)*F10/F8</f>
        <v>18.789944041582253</v>
      </c>
      <c r="E53" s="109" t="s">
        <v>168</v>
      </c>
      <c r="F53" s="105"/>
      <c r="G53" s="110"/>
      <c r="H53" s="105"/>
    </row>
    <row r="54" spans="1:9" ht="15.75" x14ac:dyDescent="0.25">
      <c r="A54" s="40" t="s">
        <v>169</v>
      </c>
      <c r="B54" s="86">
        <f>(B52-B53)/B9</f>
        <v>542.2798060670774</v>
      </c>
      <c r="C54" s="1" t="s">
        <v>111</v>
      </c>
      <c r="D54" s="103"/>
      <c r="E54" s="104"/>
      <c r="F54" s="105"/>
      <c r="G54" s="110"/>
      <c r="H54" s="105"/>
    </row>
    <row r="55" spans="1:9" ht="15.75" x14ac:dyDescent="0.25">
      <c r="A55" s="85" t="s">
        <v>170</v>
      </c>
      <c r="B55" s="86">
        <f>-0.15%*B46</f>
        <v>-0.84538423672201701</v>
      </c>
      <c r="C55" s="1" t="s">
        <v>111</v>
      </c>
      <c r="D55" s="103"/>
      <c r="E55" s="104"/>
      <c r="F55" s="105"/>
      <c r="G55" s="110"/>
      <c r="H55" s="105"/>
    </row>
    <row r="56" spans="1:9" ht="15.75" x14ac:dyDescent="0.25">
      <c r="A56" s="70"/>
      <c r="B56" s="99"/>
      <c r="C56" s="1"/>
      <c r="D56" s="111"/>
      <c r="E56" s="73"/>
      <c r="F56" s="112"/>
      <c r="H56" s="112"/>
    </row>
    <row r="57" spans="1:9" ht="18" x14ac:dyDescent="0.25">
      <c r="A57" s="113" t="s">
        <v>171</v>
      </c>
      <c r="B57" s="114">
        <f>SUM(B54:B55)</f>
        <v>541.4344218303554</v>
      </c>
      <c r="C57" s="1" t="s">
        <v>111</v>
      </c>
      <c r="F57" s="115"/>
      <c r="H57" s="115"/>
    </row>
    <row r="58" spans="1:9" ht="15.75" x14ac:dyDescent="0.25">
      <c r="B58" s="116">
        <f>B57/6.29287/$L$11</f>
        <v>62.942570253465952</v>
      </c>
      <c r="C58" s="1" t="s">
        <v>109</v>
      </c>
      <c r="D58" s="117"/>
      <c r="E58" s="73"/>
      <c r="F58" s="115"/>
      <c r="H58" s="115"/>
      <c r="I58" s="73"/>
    </row>
    <row r="59" spans="1:9" ht="15.75" x14ac:dyDescent="0.25">
      <c r="B59" s="116">
        <f>B58-$J$10</f>
        <v>62.942570253465952</v>
      </c>
      <c r="C59" s="1" t="s">
        <v>172</v>
      </c>
      <c r="D59" s="117"/>
      <c r="F59" s="111"/>
      <c r="H59" s="111"/>
    </row>
    <row r="60" spans="1:9" ht="16.5" customHeight="1" x14ac:dyDescent="0.25">
      <c r="B60" s="1"/>
      <c r="C60" s="1"/>
      <c r="D60" s="111"/>
      <c r="F60" s="111"/>
      <c r="H60" s="111"/>
    </row>
    <row r="61" spans="1:9" x14ac:dyDescent="0.25">
      <c r="A61" s="79" t="s">
        <v>346</v>
      </c>
      <c r="B61" s="118">
        <f>-(B46-(B57-B49-B48-B47-B55))</f>
        <v>-21.309685080933946</v>
      </c>
      <c r="C61" s="119" t="s">
        <v>111</v>
      </c>
      <c r="D61" s="79"/>
    </row>
    <row r="62" spans="1:9" x14ac:dyDescent="0.25">
      <c r="A62" s="79" t="s">
        <v>347</v>
      </c>
      <c r="B62" s="120">
        <f>(B61*F8)/F12</f>
        <v>-17.42240190222098</v>
      </c>
      <c r="C62" s="119" t="s">
        <v>111</v>
      </c>
      <c r="D62" s="120"/>
      <c r="E62" s="76"/>
    </row>
    <row r="63" spans="1:9" x14ac:dyDescent="0.25">
      <c r="A63" s="764" t="s">
        <v>440</v>
      </c>
      <c r="B63" s="9">
        <f>-(B44*F10)/F12</f>
        <v>-120.23161472344795</v>
      </c>
      <c r="C63" s="119" t="s">
        <v>111</v>
      </c>
    </row>
    <row r="64" spans="1:9" x14ac:dyDescent="0.25">
      <c r="B64" s="36"/>
      <c r="C64" s="36"/>
    </row>
    <row r="65" spans="2:3" x14ac:dyDescent="0.25">
      <c r="B65" s="36"/>
      <c r="C65" s="36"/>
    </row>
    <row r="66" spans="2:3" x14ac:dyDescent="0.25">
      <c r="B66" s="36"/>
      <c r="C66" s="36"/>
    </row>
    <row r="67" spans="2:3" x14ac:dyDescent="0.25">
      <c r="B67" s="36"/>
      <c r="C67" s="36"/>
    </row>
    <row r="68" spans="2:3" x14ac:dyDescent="0.25">
      <c r="B68" s="36"/>
      <c r="C68" s="36"/>
    </row>
    <row r="69" spans="2:3" x14ac:dyDescent="0.25">
      <c r="B69" s="36"/>
      <c r="C69" s="36"/>
    </row>
    <row r="70" spans="2:3" x14ac:dyDescent="0.25">
      <c r="B70" s="36"/>
      <c r="C70" s="36"/>
    </row>
    <row r="71" spans="2:3" x14ac:dyDescent="0.25">
      <c r="B71" s="36"/>
      <c r="C71" s="36"/>
    </row>
  </sheetData>
  <mergeCells count="2">
    <mergeCell ref="A3:G3"/>
    <mergeCell ref="O31:Q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D6BB-97D8-4C1C-BB67-521F2B9C66AA}">
  <dimension ref="B1:CE183"/>
  <sheetViews>
    <sheetView tabSelected="1" workbookViewId="0">
      <pane xSplit="13" ySplit="11" topLeftCell="AD171" activePane="bottomRight" state="frozen"/>
      <selection pane="topRight" activeCell="N1" sqref="N1"/>
      <selection pane="bottomLeft" activeCell="A12" sqref="A12"/>
      <selection pane="bottomRight" activeCell="F11" sqref="F11"/>
    </sheetView>
  </sheetViews>
  <sheetFormatPr defaultRowHeight="15" x14ac:dyDescent="0.25"/>
  <cols>
    <col min="1" max="1" width="3" customWidth="1"/>
    <col min="2" max="2" width="9.140625" style="1"/>
    <col min="3" max="3" width="9.140625" style="27"/>
    <col min="4" max="4" width="10.42578125" customWidth="1"/>
    <col min="5" max="5" width="10.42578125" style="1" customWidth="1"/>
    <col min="6" max="8" width="10.42578125" customWidth="1"/>
    <col min="9" max="9" width="12.5703125" customWidth="1"/>
    <col min="11" max="12" width="12.5703125" customWidth="1"/>
    <col min="13" max="14" width="10.42578125" customWidth="1"/>
    <col min="15" max="15" width="12.5703125" customWidth="1"/>
    <col min="17" max="17" width="12.5703125" customWidth="1"/>
    <col min="18" max="18" width="10.42578125" customWidth="1"/>
    <col min="19" max="20" width="12.5703125" customWidth="1"/>
    <col min="22" max="22" width="12.5703125" customWidth="1"/>
    <col min="23" max="24" width="10.42578125" customWidth="1"/>
    <col min="26" max="26" width="10.7109375" customWidth="1"/>
    <col min="29" max="32" width="9.140625" style="34"/>
    <col min="33" max="33" width="12.5703125" customWidth="1"/>
    <col min="35" max="35" width="11.5703125" customWidth="1"/>
    <col min="44" max="46" width="10.42578125" customWidth="1"/>
    <col min="47" max="47" width="12.5703125" customWidth="1"/>
    <col min="49" max="49" width="12.5703125" customWidth="1"/>
    <col min="50" max="52" width="10.42578125" customWidth="1"/>
    <col min="53" max="53" width="12.5703125" customWidth="1"/>
    <col min="55" max="55" width="12.5703125" customWidth="1"/>
    <col min="56" max="58" width="10.42578125" customWidth="1"/>
    <col min="59" max="59" width="12.5703125" customWidth="1"/>
    <col min="61" max="61" width="12.5703125" customWidth="1"/>
    <col min="62" max="64" width="10.42578125" customWidth="1"/>
    <col min="65" max="65" width="12.5703125" customWidth="1"/>
    <col min="67" max="67" width="12.5703125" customWidth="1"/>
    <col min="68" max="69" width="10.5703125" customWidth="1"/>
    <col min="70" max="70" width="10.5703125" style="34" customWidth="1"/>
    <col min="71" max="72" width="10.5703125" customWidth="1"/>
    <col min="73" max="73" width="10.5703125" style="34" customWidth="1"/>
    <col min="74" max="75" width="10.5703125" customWidth="1"/>
    <col min="76" max="76" width="10.5703125" style="34" customWidth="1"/>
    <col min="77" max="78" width="10.5703125" customWidth="1"/>
    <col min="79" max="79" width="10.5703125" style="34" customWidth="1"/>
    <col min="80" max="80" width="12.7109375" style="1" customWidth="1"/>
    <col min="81" max="82" width="10.28515625" customWidth="1"/>
  </cols>
  <sheetData>
    <row r="1" spans="2:83" x14ac:dyDescent="0.25">
      <c r="B1" s="1">
        <v>1</v>
      </c>
      <c r="C1" s="27">
        <f>B1+1</f>
        <v>2</v>
      </c>
      <c r="D1" s="27">
        <f t="shared" ref="D1:AC1" si="0">C1+1</f>
        <v>3</v>
      </c>
      <c r="E1" s="27">
        <f t="shared" si="0"/>
        <v>4</v>
      </c>
      <c r="F1" s="27">
        <f t="shared" si="0"/>
        <v>5</v>
      </c>
      <c r="G1" s="27">
        <f t="shared" si="0"/>
        <v>6</v>
      </c>
      <c r="H1" s="27">
        <f t="shared" si="0"/>
        <v>7</v>
      </c>
      <c r="I1" s="27">
        <f t="shared" si="0"/>
        <v>8</v>
      </c>
      <c r="J1" s="27">
        <f t="shared" si="0"/>
        <v>9</v>
      </c>
      <c r="K1" s="27">
        <f t="shared" si="0"/>
        <v>10</v>
      </c>
      <c r="L1" s="27">
        <f t="shared" si="0"/>
        <v>11</v>
      </c>
      <c r="M1" s="27">
        <f t="shared" si="0"/>
        <v>12</v>
      </c>
      <c r="N1" s="27">
        <f t="shared" si="0"/>
        <v>13</v>
      </c>
      <c r="O1" s="27">
        <f t="shared" si="0"/>
        <v>14</v>
      </c>
      <c r="P1" s="27">
        <f t="shared" si="0"/>
        <v>15</v>
      </c>
      <c r="Q1" s="27">
        <f t="shared" si="0"/>
        <v>16</v>
      </c>
      <c r="R1" s="27">
        <f t="shared" si="0"/>
        <v>17</v>
      </c>
      <c r="S1" s="27">
        <f t="shared" si="0"/>
        <v>18</v>
      </c>
      <c r="T1" s="27">
        <f t="shared" si="0"/>
        <v>19</v>
      </c>
      <c r="U1" s="27">
        <f t="shared" si="0"/>
        <v>20</v>
      </c>
      <c r="V1" s="27">
        <f t="shared" si="0"/>
        <v>21</v>
      </c>
      <c r="W1" s="27">
        <f t="shared" si="0"/>
        <v>22</v>
      </c>
      <c r="X1" s="27">
        <f t="shared" si="0"/>
        <v>23</v>
      </c>
      <c r="Y1" s="27">
        <f t="shared" si="0"/>
        <v>24</v>
      </c>
      <c r="Z1" s="27">
        <f t="shared" si="0"/>
        <v>25</v>
      </c>
      <c r="AA1" s="27">
        <f t="shared" si="0"/>
        <v>26</v>
      </c>
      <c r="AB1" s="27">
        <f t="shared" si="0"/>
        <v>27</v>
      </c>
      <c r="AC1" s="28">
        <f t="shared" si="0"/>
        <v>28</v>
      </c>
      <c r="AD1" s="28">
        <f t="shared" ref="AD1" si="1">AC1+1</f>
        <v>29</v>
      </c>
      <c r="AE1" s="28">
        <f t="shared" ref="AE1" si="2">AD1+1</f>
        <v>30</v>
      </c>
      <c r="AF1" s="28">
        <f t="shared" ref="AF1" si="3">AE1+1</f>
        <v>31</v>
      </c>
      <c r="AG1" s="28">
        <f t="shared" ref="AG1" si="4">AF1+1</f>
        <v>32</v>
      </c>
      <c r="AH1" s="28">
        <f t="shared" ref="AH1" si="5">AG1+1</f>
        <v>33</v>
      </c>
      <c r="AI1" s="28">
        <f t="shared" ref="AI1" si="6">AH1+1</f>
        <v>34</v>
      </c>
      <c r="AJ1" s="28">
        <f t="shared" ref="AJ1" si="7">AI1+1</f>
        <v>35</v>
      </c>
      <c r="AK1" s="28">
        <f t="shared" ref="AK1" si="8">AJ1+1</f>
        <v>36</v>
      </c>
      <c r="AL1" s="28">
        <f t="shared" ref="AL1" si="9">AK1+1</f>
        <v>37</v>
      </c>
      <c r="AM1" s="28">
        <f t="shared" ref="AM1" si="10">AL1+1</f>
        <v>38</v>
      </c>
      <c r="AN1" s="28">
        <f t="shared" ref="AN1" si="11">AM1+1</f>
        <v>39</v>
      </c>
      <c r="AO1" s="28">
        <f t="shared" ref="AO1" si="12">AN1+1</f>
        <v>40</v>
      </c>
      <c r="AP1" s="28">
        <f t="shared" ref="AP1" si="13">AO1+1</f>
        <v>41</v>
      </c>
      <c r="AQ1" s="28">
        <f t="shared" ref="AQ1" si="14">AP1+1</f>
        <v>42</v>
      </c>
      <c r="AR1" s="28">
        <f t="shared" ref="AR1" si="15">AQ1+1</f>
        <v>43</v>
      </c>
      <c r="AS1" s="28">
        <f t="shared" ref="AS1" si="16">AR1+1</f>
        <v>44</v>
      </c>
      <c r="AT1" s="28">
        <f t="shared" ref="AT1" si="17">AS1+1</f>
        <v>45</v>
      </c>
      <c r="AU1" s="28">
        <f t="shared" ref="AU1" si="18">AT1+1</f>
        <v>46</v>
      </c>
      <c r="AV1" s="28">
        <f t="shared" ref="AV1" si="19">AU1+1</f>
        <v>47</v>
      </c>
      <c r="AW1" s="28">
        <f t="shared" ref="AW1" si="20">AV1+1</f>
        <v>48</v>
      </c>
      <c r="AX1" s="28">
        <f t="shared" ref="AX1" si="21">AW1+1</f>
        <v>49</v>
      </c>
      <c r="AY1" s="28">
        <f t="shared" ref="AY1" si="22">AX1+1</f>
        <v>50</v>
      </c>
      <c r="AZ1" s="28">
        <f t="shared" ref="AZ1" si="23">AY1+1</f>
        <v>51</v>
      </c>
      <c r="BA1" s="28">
        <f t="shared" ref="BA1" si="24">AZ1+1</f>
        <v>52</v>
      </c>
      <c r="BB1" s="28">
        <f t="shared" ref="BB1" si="25">BA1+1</f>
        <v>53</v>
      </c>
      <c r="BC1" s="28">
        <f t="shared" ref="BC1" si="26">BB1+1</f>
        <v>54</v>
      </c>
      <c r="BD1" s="28">
        <f t="shared" ref="BD1" si="27">BC1+1</f>
        <v>55</v>
      </c>
      <c r="BE1" s="28">
        <f t="shared" ref="BE1" si="28">BD1+1</f>
        <v>56</v>
      </c>
      <c r="BF1" s="28">
        <f t="shared" ref="BF1" si="29">BE1+1</f>
        <v>57</v>
      </c>
      <c r="BG1" s="28">
        <f t="shared" ref="BG1" si="30">BF1+1</f>
        <v>58</v>
      </c>
      <c r="BH1" s="28">
        <f t="shared" ref="BH1" si="31">BG1+1</f>
        <v>59</v>
      </c>
      <c r="BI1" s="28">
        <f t="shared" ref="BI1" si="32">BH1+1</f>
        <v>60</v>
      </c>
      <c r="BJ1" s="28">
        <f t="shared" ref="BJ1" si="33">BI1+1</f>
        <v>61</v>
      </c>
      <c r="BK1" s="28">
        <f t="shared" ref="BK1" si="34">BJ1+1</f>
        <v>62</v>
      </c>
      <c r="BL1" s="28">
        <f t="shared" ref="BL1" si="35">BK1+1</f>
        <v>63</v>
      </c>
      <c r="BM1" s="28">
        <f t="shared" ref="BM1" si="36">BL1+1</f>
        <v>64</v>
      </c>
      <c r="BN1" s="28">
        <f t="shared" ref="BN1" si="37">BM1+1</f>
        <v>65</v>
      </c>
      <c r="BO1" s="28">
        <f t="shared" ref="BO1" si="38">BN1+1</f>
        <v>66</v>
      </c>
      <c r="BP1" s="28">
        <f t="shared" ref="BP1" si="39">BO1+1</f>
        <v>67</v>
      </c>
      <c r="BQ1" s="28">
        <f t="shared" ref="BQ1" si="40">BP1+1</f>
        <v>68</v>
      </c>
      <c r="BR1" s="28">
        <f t="shared" ref="BR1" si="41">BQ1+1</f>
        <v>69</v>
      </c>
      <c r="BS1" s="28">
        <f t="shared" ref="BS1" si="42">BR1+1</f>
        <v>70</v>
      </c>
      <c r="BT1" s="28">
        <f t="shared" ref="BT1" si="43">BS1+1</f>
        <v>71</v>
      </c>
      <c r="BU1" s="28">
        <f t="shared" ref="BU1" si="44">BT1+1</f>
        <v>72</v>
      </c>
      <c r="BV1" s="28">
        <f t="shared" ref="BV1" si="45">BU1+1</f>
        <v>73</v>
      </c>
      <c r="BW1" s="28">
        <f t="shared" ref="BW1" si="46">BV1+1</f>
        <v>74</v>
      </c>
      <c r="BX1" s="28">
        <f t="shared" ref="BX1" si="47">BW1+1</f>
        <v>75</v>
      </c>
      <c r="BY1" s="28">
        <f t="shared" ref="BY1" si="48">BX1+1</f>
        <v>76</v>
      </c>
      <c r="BZ1" s="28">
        <f t="shared" ref="BZ1" si="49">BY1+1</f>
        <v>77</v>
      </c>
      <c r="CA1" s="28">
        <f t="shared" ref="CA1" si="50">BZ1+1</f>
        <v>78</v>
      </c>
      <c r="CB1" s="28">
        <f t="shared" ref="CB1" si="51">CA1+1</f>
        <v>79</v>
      </c>
      <c r="CC1" s="28">
        <f t="shared" ref="CC1" si="52">CB1+1</f>
        <v>80</v>
      </c>
      <c r="CD1" s="28">
        <f t="shared" ref="CD1" si="53">CC1+1</f>
        <v>81</v>
      </c>
      <c r="CE1" s="28">
        <f t="shared" ref="CE1" si="54">CD1+1</f>
        <v>82</v>
      </c>
    </row>
    <row r="2" spans="2:83" ht="135" x14ac:dyDescent="0.25">
      <c r="B2" s="1" t="s">
        <v>45</v>
      </c>
      <c r="C2" s="29" t="s">
        <v>46</v>
      </c>
      <c r="D2" s="26" t="s">
        <v>47</v>
      </c>
      <c r="E2" s="26" t="s">
        <v>48</v>
      </c>
      <c r="F2" s="26" t="s">
        <v>49</v>
      </c>
      <c r="G2" s="26" t="s">
        <v>50</v>
      </c>
      <c r="H2" s="26" t="s">
        <v>51</v>
      </c>
      <c r="I2" s="26" t="s">
        <v>51</v>
      </c>
      <c r="J2" s="26" t="s">
        <v>52</v>
      </c>
      <c r="K2" s="26" t="s">
        <v>53</v>
      </c>
      <c r="L2" s="26" t="s">
        <v>54</v>
      </c>
      <c r="M2" s="26" t="s">
        <v>55</v>
      </c>
      <c r="N2" s="26" t="s">
        <v>56</v>
      </c>
      <c r="O2" s="26" t="s">
        <v>56</v>
      </c>
      <c r="P2" s="26" t="s">
        <v>57</v>
      </c>
      <c r="Q2" s="26" t="s">
        <v>58</v>
      </c>
      <c r="R2" s="26" t="s">
        <v>59</v>
      </c>
      <c r="S2" s="26" t="s">
        <v>60</v>
      </c>
      <c r="T2" s="26" t="s">
        <v>60</v>
      </c>
      <c r="U2" s="26" t="s">
        <v>61</v>
      </c>
      <c r="V2" s="26" t="s">
        <v>62</v>
      </c>
      <c r="W2" s="26" t="s">
        <v>63</v>
      </c>
      <c r="X2" s="30" t="s">
        <v>64</v>
      </c>
      <c r="Y2" s="30" t="s">
        <v>65</v>
      </c>
      <c r="Z2" s="30" t="s">
        <v>66</v>
      </c>
      <c r="AA2" s="26" t="s">
        <v>67</v>
      </c>
      <c r="AB2" s="26" t="s">
        <v>68</v>
      </c>
      <c r="AC2" s="31" t="s">
        <v>68</v>
      </c>
      <c r="AD2" s="31" t="s">
        <v>454</v>
      </c>
      <c r="AE2" s="31" t="s">
        <v>185</v>
      </c>
      <c r="AF2" s="31" t="s">
        <v>186</v>
      </c>
      <c r="AG2" s="26" t="s">
        <v>69</v>
      </c>
      <c r="AH2" s="26" t="s">
        <v>70</v>
      </c>
      <c r="AI2" s="26" t="s">
        <v>71</v>
      </c>
      <c r="AJ2" s="26" t="s">
        <v>72</v>
      </c>
      <c r="AK2" s="26" t="s">
        <v>73</v>
      </c>
      <c r="AL2" s="26" t="s">
        <v>73</v>
      </c>
      <c r="AM2" s="26" t="s">
        <v>74</v>
      </c>
      <c r="AN2" s="26" t="s">
        <v>75</v>
      </c>
      <c r="AO2" s="26" t="s">
        <v>76</v>
      </c>
      <c r="AP2" s="26" t="s">
        <v>77</v>
      </c>
      <c r="AQ2" s="26" t="s">
        <v>78</v>
      </c>
      <c r="AR2" s="26" t="s">
        <v>79</v>
      </c>
      <c r="AS2" s="26" t="s">
        <v>80</v>
      </c>
      <c r="AT2" s="26" t="s">
        <v>81</v>
      </c>
      <c r="AU2" s="26" t="s">
        <v>81</v>
      </c>
      <c r="AV2" s="26" t="s">
        <v>82</v>
      </c>
      <c r="AW2" s="26" t="s">
        <v>83</v>
      </c>
      <c r="AX2" s="26" t="s">
        <v>84</v>
      </c>
      <c r="AY2" s="26" t="s">
        <v>85</v>
      </c>
      <c r="AZ2" s="26" t="s">
        <v>86</v>
      </c>
      <c r="BA2" s="26" t="s">
        <v>86</v>
      </c>
      <c r="BB2" s="26" t="s">
        <v>87</v>
      </c>
      <c r="BC2" s="26" t="s">
        <v>88</v>
      </c>
      <c r="BD2" s="26" t="s">
        <v>89</v>
      </c>
      <c r="BE2" s="26" t="s">
        <v>90</v>
      </c>
      <c r="BF2" s="26" t="s">
        <v>91</v>
      </c>
      <c r="BG2" s="26" t="s">
        <v>91</v>
      </c>
      <c r="BH2" s="26" t="s">
        <v>92</v>
      </c>
      <c r="BI2" s="26" t="s">
        <v>93</v>
      </c>
      <c r="BJ2" s="26" t="s">
        <v>94</v>
      </c>
      <c r="BK2" s="26" t="s">
        <v>95</v>
      </c>
      <c r="BL2" s="26" t="s">
        <v>96</v>
      </c>
      <c r="BM2" s="26" t="s">
        <v>96</v>
      </c>
      <c r="BN2" s="26" t="s">
        <v>97</v>
      </c>
      <c r="BO2" s="26" t="s">
        <v>98</v>
      </c>
      <c r="BP2" s="26" t="s">
        <v>99</v>
      </c>
      <c r="BQ2" s="26" t="s">
        <v>100</v>
      </c>
      <c r="BR2" s="31" t="s">
        <v>100</v>
      </c>
      <c r="BS2" s="26" t="s">
        <v>101</v>
      </c>
      <c r="BT2" s="26" t="s">
        <v>102</v>
      </c>
      <c r="BU2" s="31" t="s">
        <v>102</v>
      </c>
      <c r="BV2" s="26" t="s">
        <v>103</v>
      </c>
      <c r="BW2" s="26" t="s">
        <v>104</v>
      </c>
      <c r="BX2" s="31" t="s">
        <v>104</v>
      </c>
      <c r="BY2" s="26" t="s">
        <v>105</v>
      </c>
      <c r="BZ2" s="26" t="s">
        <v>106</v>
      </c>
      <c r="CA2" s="31" t="s">
        <v>106</v>
      </c>
      <c r="CB2" s="26" t="s">
        <v>425</v>
      </c>
      <c r="CC2" s="26" t="s">
        <v>426</v>
      </c>
      <c r="CD2" s="26" t="s">
        <v>427</v>
      </c>
      <c r="CE2" s="26" t="s">
        <v>428</v>
      </c>
    </row>
    <row r="3" spans="2:83" ht="25.5" customHeight="1" x14ac:dyDescent="0.25">
      <c r="B3" s="1" t="s">
        <v>107</v>
      </c>
      <c r="C3" s="29" t="s">
        <v>108</v>
      </c>
      <c r="D3" s="26" t="s">
        <v>109</v>
      </c>
      <c r="E3" s="26" t="s">
        <v>110</v>
      </c>
      <c r="F3" s="26" t="s">
        <v>109</v>
      </c>
      <c r="G3" s="26" t="s">
        <v>111</v>
      </c>
      <c r="H3" s="26" t="s">
        <v>109</v>
      </c>
      <c r="I3" s="26" t="s">
        <v>111</v>
      </c>
      <c r="J3" s="26" t="s">
        <v>111</v>
      </c>
      <c r="K3" s="26" t="s">
        <v>112</v>
      </c>
      <c r="L3" s="26" t="s">
        <v>109</v>
      </c>
      <c r="M3" s="26" t="s">
        <v>109</v>
      </c>
      <c r="N3" s="26" t="s">
        <v>109</v>
      </c>
      <c r="O3" s="26" t="s">
        <v>111</v>
      </c>
      <c r="P3" s="26" t="s">
        <v>111</v>
      </c>
      <c r="Q3" s="26" t="s">
        <v>112</v>
      </c>
      <c r="R3" s="26" t="s">
        <v>109</v>
      </c>
      <c r="S3" s="26" t="s">
        <v>109</v>
      </c>
      <c r="T3" s="26" t="s">
        <v>111</v>
      </c>
      <c r="U3" s="26" t="s">
        <v>111</v>
      </c>
      <c r="V3" s="26" t="s">
        <v>112</v>
      </c>
      <c r="W3" s="26" t="s">
        <v>109</v>
      </c>
      <c r="X3" s="30" t="s">
        <v>111</v>
      </c>
      <c r="Y3" s="30" t="s">
        <v>113</v>
      </c>
      <c r="Z3" s="30" t="s">
        <v>111</v>
      </c>
      <c r="AA3" s="26" t="s">
        <v>109</v>
      </c>
      <c r="AB3" s="26" t="s">
        <v>111</v>
      </c>
      <c r="AC3" s="31" t="s">
        <v>109</v>
      </c>
      <c r="AD3" s="31" t="s">
        <v>131</v>
      </c>
      <c r="AE3" s="31" t="s">
        <v>111</v>
      </c>
      <c r="AF3" s="31" t="s">
        <v>187</v>
      </c>
      <c r="AG3" s="26" t="s">
        <v>109</v>
      </c>
      <c r="AH3" s="26" t="s">
        <v>112</v>
      </c>
      <c r="AI3" s="26" t="s">
        <v>109</v>
      </c>
      <c r="AJ3" s="26" t="s">
        <v>112</v>
      </c>
      <c r="AK3" s="26" t="s">
        <v>109</v>
      </c>
      <c r="AL3" s="26" t="s">
        <v>111</v>
      </c>
      <c r="AM3" s="26" t="s">
        <v>112</v>
      </c>
      <c r="AN3" s="26" t="s">
        <v>109</v>
      </c>
      <c r="AO3" s="26" t="s">
        <v>109</v>
      </c>
      <c r="AP3" s="26" t="s">
        <v>109</v>
      </c>
      <c r="AQ3" s="26" t="s">
        <v>109</v>
      </c>
      <c r="AR3" s="26" t="s">
        <v>109</v>
      </c>
      <c r="AS3" s="26" t="s">
        <v>111</v>
      </c>
      <c r="AT3" s="26" t="s">
        <v>109</v>
      </c>
      <c r="AU3" s="26" t="s">
        <v>111</v>
      </c>
      <c r="AV3" s="26" t="s">
        <v>111</v>
      </c>
      <c r="AW3" s="26" t="s">
        <v>112</v>
      </c>
      <c r="AX3" s="26" t="s">
        <v>109</v>
      </c>
      <c r="AY3" s="26" t="s">
        <v>111</v>
      </c>
      <c r="AZ3" s="26" t="s">
        <v>109</v>
      </c>
      <c r="BA3" s="26" t="s">
        <v>111</v>
      </c>
      <c r="BB3" s="26" t="s">
        <v>111</v>
      </c>
      <c r="BC3" s="26" t="s">
        <v>112</v>
      </c>
      <c r="BD3" s="26" t="s">
        <v>109</v>
      </c>
      <c r="BE3" s="26" t="s">
        <v>111</v>
      </c>
      <c r="BF3" s="26" t="s">
        <v>109</v>
      </c>
      <c r="BG3" s="26" t="s">
        <v>111</v>
      </c>
      <c r="BH3" s="26" t="s">
        <v>111</v>
      </c>
      <c r="BI3" s="26" t="s">
        <v>112</v>
      </c>
      <c r="BJ3" s="26" t="s">
        <v>109</v>
      </c>
      <c r="BK3" s="26" t="s">
        <v>111</v>
      </c>
      <c r="BL3" s="26" t="s">
        <v>109</v>
      </c>
      <c r="BM3" s="26" t="s">
        <v>111</v>
      </c>
      <c r="BN3" s="26" t="s">
        <v>111</v>
      </c>
      <c r="BO3" s="26" t="s">
        <v>112</v>
      </c>
      <c r="BP3" s="26" t="s">
        <v>109</v>
      </c>
      <c r="BQ3" s="32" t="s">
        <v>111</v>
      </c>
      <c r="BR3" s="33" t="s">
        <v>109</v>
      </c>
      <c r="BS3" s="26" t="s">
        <v>109</v>
      </c>
      <c r="BT3" s="26" t="s">
        <v>111</v>
      </c>
      <c r="BU3" s="31" t="s">
        <v>109</v>
      </c>
      <c r="BV3" s="32" t="s">
        <v>109</v>
      </c>
      <c r="BW3" s="32" t="s">
        <v>111</v>
      </c>
      <c r="BX3" s="33" t="s">
        <v>109</v>
      </c>
      <c r="BY3" s="26" t="s">
        <v>109</v>
      </c>
      <c r="BZ3" s="26" t="s">
        <v>111</v>
      </c>
      <c r="CA3" s="31" t="s">
        <v>109</v>
      </c>
    </row>
    <row r="4" spans="2:83" x14ac:dyDescent="0.25">
      <c r="B4" s="125">
        <v>40544</v>
      </c>
      <c r="C4" s="126">
        <v>31</v>
      </c>
      <c r="D4" s="127">
        <v>89.58</v>
      </c>
      <c r="E4" s="128">
        <v>0.99380000000000002</v>
      </c>
      <c r="F4" s="129">
        <v>-5.61</v>
      </c>
      <c r="G4" s="130">
        <v>0.28000000000000003</v>
      </c>
      <c r="H4" s="131">
        <f>I4/($E4*6.29287)</f>
        <v>84.014772390077681</v>
      </c>
      <c r="I4" s="129">
        <f>(($D4+F4)*6.29287*$E4)+G4</f>
        <v>525.41613767781996</v>
      </c>
      <c r="J4" s="129">
        <f t="shared" ref="J4:J67" si="55">I4-G4</f>
        <v>525.13613767781999</v>
      </c>
      <c r="K4" s="132">
        <f t="shared" ref="K4:K67" si="56">(D4+F4)/D4</f>
        <v>0.93737441393168119</v>
      </c>
      <c r="L4" s="133">
        <f>M4-F4</f>
        <v>7.33</v>
      </c>
      <c r="M4" s="129">
        <v>1.72</v>
      </c>
      <c r="N4" s="129">
        <f t="shared" ref="N4:N67" si="57">O4/(E4*6.29287)</f>
        <v>89.699387054722777</v>
      </c>
      <c r="O4" s="134">
        <f t="shared" ref="O4:O67" si="58">((D4+M4)*6.29287*E4)+X4</f>
        <v>560.96688900779998</v>
      </c>
      <c r="P4" s="135">
        <f t="shared" ref="P4:P67" si="59">O4-X4</f>
        <v>570.97688900779997</v>
      </c>
      <c r="Q4" s="136">
        <f t="shared" ref="Q4:Q67" si="60">(D4+M4)/D4</f>
        <v>1.0192007144451887</v>
      </c>
      <c r="R4" s="137"/>
      <c r="S4" s="138"/>
      <c r="T4" s="139">
        <f t="shared" ref="T4:T67" si="61">(($D4+R4)*$E4*6.29287)+X4</f>
        <v>550.21025977347995</v>
      </c>
      <c r="U4" s="139">
        <f t="shared" ref="U4:U67" si="62">T4-X4</f>
        <v>560.22025977347994</v>
      </c>
      <c r="V4" s="138"/>
      <c r="W4" s="137"/>
      <c r="X4" s="140">
        <v>-10.01</v>
      </c>
      <c r="Y4" s="141">
        <v>0.34</v>
      </c>
      <c r="Z4" s="142"/>
      <c r="AA4" s="143">
        <v>-18.399999999999999</v>
      </c>
      <c r="AB4" s="144">
        <f>(D4+AA4)*E4*6.2898105</f>
        <v>444.93291737938205</v>
      </c>
      <c r="AC4" s="145">
        <f>D4+AA4</f>
        <v>71.180000000000007</v>
      </c>
      <c r="AD4" s="146"/>
      <c r="AE4" s="146"/>
      <c r="AF4" s="146"/>
      <c r="AG4" s="147">
        <f t="shared" ref="AG4:AG51" si="63">M4-AA4</f>
        <v>20.119999999999997</v>
      </c>
      <c r="AH4" s="148">
        <f t="shared" ref="AH4:AH67" si="64">(D4+AA4)/D4</f>
        <v>0.79459700826077262</v>
      </c>
      <c r="AI4" s="149"/>
      <c r="AJ4" s="150"/>
      <c r="AK4" s="144"/>
      <c r="AL4" s="151"/>
      <c r="AM4" s="152"/>
      <c r="AN4" s="153"/>
      <c r="AO4" s="129"/>
      <c r="AP4" s="154"/>
      <c r="AQ4" s="126"/>
      <c r="AR4" s="155">
        <v>0</v>
      </c>
      <c r="AS4" s="156">
        <v>0</v>
      </c>
      <c r="AT4" s="157">
        <f>AU4/($E4*6.29287)</f>
        <v>89.580000000000013</v>
      </c>
      <c r="AU4" s="129">
        <f>(($D4+AR4)*6.29287*$E4)+AS4</f>
        <v>560.22025977348005</v>
      </c>
      <c r="AV4" s="158">
        <f>AU4-AS4</f>
        <v>560.22025977348005</v>
      </c>
      <c r="AW4" s="159"/>
      <c r="AX4" s="155">
        <v>0</v>
      </c>
      <c r="AY4" s="156">
        <v>0</v>
      </c>
      <c r="AZ4" s="157">
        <f>BA4/($E4*6.29287)</f>
        <v>89.580000000000013</v>
      </c>
      <c r="BA4" s="129">
        <f>(($D4+AX4)*6.29287*$E4)+AY4</f>
        <v>560.22025977348005</v>
      </c>
      <c r="BB4" s="158">
        <f>BA4-AY4</f>
        <v>560.22025977348005</v>
      </c>
      <c r="BC4" s="159"/>
      <c r="BD4" s="155">
        <v>0</v>
      </c>
      <c r="BE4" s="156">
        <v>0</v>
      </c>
      <c r="BF4" s="157">
        <f>BG4/($E4*6.29287)</f>
        <v>89.580000000000013</v>
      </c>
      <c r="BG4" s="129">
        <f>(($D4+BD4)*6.29287*$E4)+BE4</f>
        <v>560.22025977348005</v>
      </c>
      <c r="BH4" s="158">
        <f>BG4-BE4</f>
        <v>560.22025977348005</v>
      </c>
      <c r="BI4" s="159"/>
      <c r="BJ4" s="155">
        <v>0</v>
      </c>
      <c r="BK4" s="156">
        <v>0</v>
      </c>
      <c r="BL4" s="157">
        <f>BM4/($E4*6.29287)</f>
        <v>89.580000000000013</v>
      </c>
      <c r="BM4" s="129">
        <f>(($D4+BJ4)*6.29287*$E4)+BK4</f>
        <v>560.22025977348005</v>
      </c>
      <c r="BN4" s="158">
        <f>BM4-BK4</f>
        <v>560.22025977348005</v>
      </c>
      <c r="BO4" s="159"/>
      <c r="BP4" s="162">
        <f t="shared" ref="BP4:BP67" si="65">AA4+0.25</f>
        <v>-18.149999999999999</v>
      </c>
      <c r="BQ4" s="160"/>
      <c r="BR4" s="161"/>
      <c r="BS4" s="162" t="s">
        <v>114</v>
      </c>
      <c r="BT4" s="144" t="s">
        <v>114</v>
      </c>
      <c r="BU4" s="145" t="s">
        <v>114</v>
      </c>
      <c r="BV4" s="163"/>
      <c r="BW4" s="160"/>
      <c r="BX4" s="161"/>
      <c r="BY4" s="162" t="s">
        <v>114</v>
      </c>
      <c r="BZ4" s="144" t="s">
        <v>114</v>
      </c>
      <c r="CA4" s="145" t="s">
        <v>114</v>
      </c>
    </row>
    <row r="5" spans="2:83" x14ac:dyDescent="0.25">
      <c r="B5" s="164">
        <v>40575</v>
      </c>
      <c r="C5" s="165">
        <v>28</v>
      </c>
      <c r="D5" s="166">
        <v>89.74</v>
      </c>
      <c r="E5" s="167">
        <v>0.98760000000000003</v>
      </c>
      <c r="F5" s="168">
        <v>-4.9400000000000004</v>
      </c>
      <c r="G5" s="169">
        <v>-0.68</v>
      </c>
      <c r="H5" s="170">
        <f t="shared" ref="H5:H68" si="66">I5/(E5*6.29287)</f>
        <v>84.690584444048142</v>
      </c>
      <c r="I5" s="168">
        <f t="shared" ref="I5:I68" si="67">((D5+F5)*6.29287*E5)+G5</f>
        <v>526.33829733760001</v>
      </c>
      <c r="J5" s="168">
        <f t="shared" si="55"/>
        <v>527.01829733759996</v>
      </c>
      <c r="K5" s="171">
        <f t="shared" si="56"/>
        <v>0.94495208379763762</v>
      </c>
      <c r="L5" s="172">
        <f t="shared" ref="L5:L68" si="68">M5-F5</f>
        <v>8.7200000000000006</v>
      </c>
      <c r="M5" s="168">
        <v>3.78</v>
      </c>
      <c r="N5" s="168">
        <f t="shared" si="57"/>
        <v>91.727515745141474</v>
      </c>
      <c r="O5" s="173">
        <f t="shared" si="58"/>
        <v>570.07168829023999</v>
      </c>
      <c r="P5" s="174">
        <f t="shared" si="59"/>
        <v>581.21168829023998</v>
      </c>
      <c r="Q5" s="175">
        <f t="shared" si="60"/>
        <v>1.0421216848673946</v>
      </c>
      <c r="R5" s="176"/>
      <c r="S5" s="177"/>
      <c r="T5" s="178">
        <f t="shared" si="61"/>
        <v>546.57959909288002</v>
      </c>
      <c r="U5" s="178">
        <f t="shared" si="62"/>
        <v>557.71959909288</v>
      </c>
      <c r="V5" s="177"/>
      <c r="W5" s="176"/>
      <c r="X5" s="179">
        <v>-11.14</v>
      </c>
      <c r="Y5" s="180">
        <v>0.5</v>
      </c>
      <c r="Z5" s="181"/>
      <c r="AA5" s="182">
        <v>-26.33</v>
      </c>
      <c r="AB5" s="182">
        <f t="shared" ref="AB5:AB68" si="69">(D5+AA5)*E5*6.2898105</f>
        <v>393.89130644581797</v>
      </c>
      <c r="AC5" s="183">
        <f t="shared" ref="AC5:AC68" si="70">D5+AA5</f>
        <v>63.41</v>
      </c>
      <c r="AD5" s="184"/>
      <c r="AE5" s="184"/>
      <c r="AF5" s="184"/>
      <c r="AG5" s="185">
        <f t="shared" si="63"/>
        <v>30.11</v>
      </c>
      <c r="AH5" s="186">
        <f t="shared" si="64"/>
        <v>0.70659683530198347</v>
      </c>
      <c r="AI5" s="187"/>
      <c r="AJ5" s="188"/>
      <c r="AK5" s="189"/>
      <c r="AL5" s="190"/>
      <c r="AM5" s="191"/>
      <c r="AN5" s="192"/>
      <c r="AO5" s="168"/>
      <c r="AP5" s="193"/>
      <c r="AQ5" s="165"/>
      <c r="AR5" s="194">
        <v>0</v>
      </c>
      <c r="AS5" s="195">
        <v>0</v>
      </c>
      <c r="AT5" s="196">
        <f t="shared" ref="AT5:AT68" si="71">AU5/($E5*6.29287)</f>
        <v>89.740000000000009</v>
      </c>
      <c r="AU5" s="197">
        <f t="shared" ref="AU5:AU68" si="72">(($D5+AR5)*6.29287*$E5)+AS5</f>
        <v>557.71959909288</v>
      </c>
      <c r="AV5" s="197">
        <f t="shared" ref="AV5:AV68" si="73">AU5-AS5</f>
        <v>557.71959909288</v>
      </c>
      <c r="AW5" s="198"/>
      <c r="AX5" s="194">
        <v>0</v>
      </c>
      <c r="AY5" s="195">
        <v>0</v>
      </c>
      <c r="AZ5" s="196">
        <f t="shared" ref="AZ5:AZ68" si="74">BA5/($E5*6.29287)</f>
        <v>89.740000000000009</v>
      </c>
      <c r="BA5" s="197">
        <f t="shared" ref="BA5:BA68" si="75">(($D5+AX5)*6.29287*$E5)+AY5</f>
        <v>557.71959909288</v>
      </c>
      <c r="BB5" s="197">
        <f t="shared" ref="BB5:BB68" si="76">BA5-AY5</f>
        <v>557.71959909288</v>
      </c>
      <c r="BC5" s="198"/>
      <c r="BD5" s="194">
        <v>0</v>
      </c>
      <c r="BE5" s="195">
        <v>0</v>
      </c>
      <c r="BF5" s="196">
        <f t="shared" ref="BF5:BF68" si="77">BG5/($E5*6.29287)</f>
        <v>89.740000000000009</v>
      </c>
      <c r="BG5" s="197">
        <f t="shared" ref="BG5:BG68" si="78">(($D5+BD5)*6.29287*$E5)+BE5</f>
        <v>557.71959909288</v>
      </c>
      <c r="BH5" s="197">
        <f t="shared" ref="BH5:BH68" si="79">BG5-BE5</f>
        <v>557.71959909288</v>
      </c>
      <c r="BI5" s="198"/>
      <c r="BJ5" s="194">
        <v>0</v>
      </c>
      <c r="BK5" s="195">
        <v>0</v>
      </c>
      <c r="BL5" s="196">
        <f t="shared" ref="BL5:BL68" si="80">BM5/($E5*6.29287)</f>
        <v>89.740000000000009</v>
      </c>
      <c r="BM5" s="197">
        <f t="shared" ref="BM5:BM68" si="81">(($D5+BJ5)*6.29287*$E5)+BK5</f>
        <v>557.71959909288</v>
      </c>
      <c r="BN5" s="197">
        <f t="shared" ref="BN5:BN68" si="82">BM5-BK5</f>
        <v>557.71959909288</v>
      </c>
      <c r="BO5" s="198"/>
      <c r="BP5" s="201">
        <f t="shared" si="65"/>
        <v>-26.08</v>
      </c>
      <c r="BQ5" s="199"/>
      <c r="BR5" s="200"/>
      <c r="BS5" s="201" t="s">
        <v>114</v>
      </c>
      <c r="BT5" s="201" t="s">
        <v>114</v>
      </c>
      <c r="BU5" s="183" t="s">
        <v>114</v>
      </c>
      <c r="BV5" s="199"/>
      <c r="BW5" s="199"/>
      <c r="BX5" s="200"/>
      <c r="BY5" s="201" t="s">
        <v>114</v>
      </c>
      <c r="BZ5" s="201" t="s">
        <v>114</v>
      </c>
      <c r="CA5" s="183" t="s">
        <v>114</v>
      </c>
    </row>
    <row r="6" spans="2:83" x14ac:dyDescent="0.25">
      <c r="B6" s="164">
        <v>40603</v>
      </c>
      <c r="C6" s="165">
        <v>31</v>
      </c>
      <c r="D6" s="166">
        <v>102.98</v>
      </c>
      <c r="E6" s="167">
        <v>0.97660000000000002</v>
      </c>
      <c r="F6" s="168">
        <v>-3.53</v>
      </c>
      <c r="G6" s="169">
        <v>-0.82</v>
      </c>
      <c r="H6" s="170">
        <f t="shared" si="66"/>
        <v>99.316571571075485</v>
      </c>
      <c r="I6" s="168">
        <f t="shared" si="67"/>
        <v>610.36159493689991</v>
      </c>
      <c r="J6" s="168">
        <f t="shared" si="55"/>
        <v>611.18159493689996</v>
      </c>
      <c r="K6" s="171">
        <f t="shared" si="56"/>
        <v>0.9657214993202563</v>
      </c>
      <c r="L6" s="172">
        <f t="shared" si="68"/>
        <v>10.94</v>
      </c>
      <c r="M6" s="168">
        <v>7.41</v>
      </c>
      <c r="N6" s="168">
        <f t="shared" si="57"/>
        <v>107.31789178281153</v>
      </c>
      <c r="O6" s="173">
        <f t="shared" si="58"/>
        <v>659.53464318837996</v>
      </c>
      <c r="P6" s="174">
        <f t="shared" si="59"/>
        <v>678.41464318837996</v>
      </c>
      <c r="Q6" s="175">
        <f t="shared" si="60"/>
        <v>1.0719557195571956</v>
      </c>
      <c r="R6" s="176"/>
      <c r="S6" s="177"/>
      <c r="T6" s="178">
        <f t="shared" si="61"/>
        <v>613.99562238916008</v>
      </c>
      <c r="U6" s="178">
        <f t="shared" si="62"/>
        <v>632.87562238916007</v>
      </c>
      <c r="V6" s="177"/>
      <c r="W6" s="176"/>
      <c r="X6" s="179">
        <v>-18.88</v>
      </c>
      <c r="Y6" s="180">
        <v>0.51</v>
      </c>
      <c r="Z6" s="181"/>
      <c r="AA6" s="182">
        <v>-23.85</v>
      </c>
      <c r="AB6" s="182">
        <f t="shared" si="69"/>
        <v>486.06622757115895</v>
      </c>
      <c r="AC6" s="183">
        <f t="shared" si="70"/>
        <v>79.13</v>
      </c>
      <c r="AD6" s="184"/>
      <c r="AE6" s="184"/>
      <c r="AF6" s="184"/>
      <c r="AG6" s="185">
        <f t="shared" si="63"/>
        <v>31.26</v>
      </c>
      <c r="AH6" s="186">
        <f t="shared" si="64"/>
        <v>0.76840163138473483</v>
      </c>
      <c r="AI6" s="187"/>
      <c r="AJ6" s="188"/>
      <c r="AK6" s="189"/>
      <c r="AL6" s="190"/>
      <c r="AM6" s="191"/>
      <c r="AN6" s="192"/>
      <c r="AO6" s="168"/>
      <c r="AP6" s="193"/>
      <c r="AQ6" s="165"/>
      <c r="AR6" s="194">
        <v>0</v>
      </c>
      <c r="AS6" s="195">
        <v>0</v>
      </c>
      <c r="AT6" s="196">
        <f t="shared" si="71"/>
        <v>102.98000000000002</v>
      </c>
      <c r="AU6" s="197">
        <f t="shared" si="72"/>
        <v>632.87562238916007</v>
      </c>
      <c r="AV6" s="197">
        <f t="shared" si="73"/>
        <v>632.87562238916007</v>
      </c>
      <c r="AW6" s="198"/>
      <c r="AX6" s="194">
        <v>0</v>
      </c>
      <c r="AY6" s="195">
        <v>0</v>
      </c>
      <c r="AZ6" s="196">
        <f t="shared" si="74"/>
        <v>102.98000000000002</v>
      </c>
      <c r="BA6" s="197">
        <f t="shared" si="75"/>
        <v>632.87562238916007</v>
      </c>
      <c r="BB6" s="197">
        <f t="shared" si="76"/>
        <v>632.87562238916007</v>
      </c>
      <c r="BC6" s="198"/>
      <c r="BD6" s="194">
        <v>0</v>
      </c>
      <c r="BE6" s="195">
        <v>0</v>
      </c>
      <c r="BF6" s="196">
        <f t="shared" si="77"/>
        <v>102.98000000000002</v>
      </c>
      <c r="BG6" s="197">
        <f t="shared" si="78"/>
        <v>632.87562238916007</v>
      </c>
      <c r="BH6" s="197">
        <f t="shared" si="79"/>
        <v>632.87562238916007</v>
      </c>
      <c r="BI6" s="198"/>
      <c r="BJ6" s="194">
        <v>0</v>
      </c>
      <c r="BK6" s="195">
        <v>0</v>
      </c>
      <c r="BL6" s="196">
        <f t="shared" si="80"/>
        <v>102.98000000000002</v>
      </c>
      <c r="BM6" s="197">
        <f t="shared" si="81"/>
        <v>632.87562238916007</v>
      </c>
      <c r="BN6" s="197">
        <f t="shared" si="82"/>
        <v>632.87562238916007</v>
      </c>
      <c r="BO6" s="198"/>
      <c r="BP6" s="201">
        <f t="shared" si="65"/>
        <v>-23.6</v>
      </c>
      <c r="BQ6" s="199"/>
      <c r="BR6" s="200"/>
      <c r="BS6" s="201" t="s">
        <v>114</v>
      </c>
      <c r="BT6" s="201" t="s">
        <v>114</v>
      </c>
      <c r="BU6" s="183" t="s">
        <v>114</v>
      </c>
      <c r="BV6" s="199"/>
      <c r="BW6" s="199"/>
      <c r="BX6" s="200"/>
      <c r="BY6" s="201" t="s">
        <v>114</v>
      </c>
      <c r="BZ6" s="201" t="s">
        <v>114</v>
      </c>
      <c r="CA6" s="183" t="s">
        <v>114</v>
      </c>
    </row>
    <row r="7" spans="2:83" x14ac:dyDescent="0.25">
      <c r="B7" s="164">
        <v>40634</v>
      </c>
      <c r="C7" s="165">
        <v>30</v>
      </c>
      <c r="D7" s="166">
        <v>110.04</v>
      </c>
      <c r="E7" s="167">
        <v>0.95820000000000005</v>
      </c>
      <c r="F7" s="168">
        <v>5.76</v>
      </c>
      <c r="G7" s="169">
        <v>-0.89</v>
      </c>
      <c r="H7" s="170">
        <f t="shared" si="66"/>
        <v>115.65240043414479</v>
      </c>
      <c r="I7" s="168">
        <f t="shared" si="67"/>
        <v>697.36408633720009</v>
      </c>
      <c r="J7" s="168">
        <f t="shared" si="55"/>
        <v>698.25408633720008</v>
      </c>
      <c r="K7" s="171">
        <f t="shared" si="56"/>
        <v>1.0523446019629226</v>
      </c>
      <c r="L7" s="172">
        <f t="shared" si="68"/>
        <v>9.2000000000000011</v>
      </c>
      <c r="M7" s="168">
        <v>14.96</v>
      </c>
      <c r="N7" s="168">
        <f t="shared" si="57"/>
        <v>121.28679294438399</v>
      </c>
      <c r="O7" s="173">
        <f t="shared" si="58"/>
        <v>731.33850425000003</v>
      </c>
      <c r="P7" s="174">
        <f t="shared" si="59"/>
        <v>753.72850425000001</v>
      </c>
      <c r="Q7" s="175">
        <f t="shared" si="60"/>
        <v>1.1359505634314795</v>
      </c>
      <c r="R7" s="176"/>
      <c r="S7" s="177"/>
      <c r="T7" s="178">
        <f t="shared" si="61"/>
        <v>641.13227686136008</v>
      </c>
      <c r="U7" s="178">
        <f t="shared" si="62"/>
        <v>663.52227686136007</v>
      </c>
      <c r="V7" s="177"/>
      <c r="W7" s="176"/>
      <c r="X7" s="179">
        <v>-22.39</v>
      </c>
      <c r="Y7" s="180">
        <v>0.51</v>
      </c>
      <c r="Z7" s="181"/>
      <c r="AA7" s="182">
        <v>-20.34</v>
      </c>
      <c r="AB7" s="182">
        <f t="shared" si="69"/>
        <v>540.61260897267005</v>
      </c>
      <c r="AC7" s="183">
        <f t="shared" si="70"/>
        <v>89.7</v>
      </c>
      <c r="AD7" s="184"/>
      <c r="AE7" s="184"/>
      <c r="AF7" s="184"/>
      <c r="AG7" s="185">
        <f t="shared" si="63"/>
        <v>35.299999999999997</v>
      </c>
      <c r="AH7" s="186">
        <f t="shared" si="64"/>
        <v>0.8151581243184296</v>
      </c>
      <c r="AI7" s="187"/>
      <c r="AJ7" s="188"/>
      <c r="AK7" s="189"/>
      <c r="AL7" s="190"/>
      <c r="AM7" s="191"/>
      <c r="AN7" s="192"/>
      <c r="AO7" s="168"/>
      <c r="AP7" s="193"/>
      <c r="AQ7" s="165"/>
      <c r="AR7" s="194">
        <v>0</v>
      </c>
      <c r="AS7" s="195">
        <v>0</v>
      </c>
      <c r="AT7" s="196">
        <f t="shared" si="71"/>
        <v>110.04</v>
      </c>
      <c r="AU7" s="197">
        <f t="shared" si="72"/>
        <v>663.52227686136007</v>
      </c>
      <c r="AV7" s="197">
        <f t="shared" si="73"/>
        <v>663.52227686136007</v>
      </c>
      <c r="AW7" s="198"/>
      <c r="AX7" s="194">
        <v>0</v>
      </c>
      <c r="AY7" s="195">
        <v>0</v>
      </c>
      <c r="AZ7" s="196">
        <f t="shared" si="74"/>
        <v>110.04</v>
      </c>
      <c r="BA7" s="197">
        <f t="shared" si="75"/>
        <v>663.52227686136007</v>
      </c>
      <c r="BB7" s="197">
        <f t="shared" si="76"/>
        <v>663.52227686136007</v>
      </c>
      <c r="BC7" s="198"/>
      <c r="BD7" s="194">
        <v>0</v>
      </c>
      <c r="BE7" s="195">
        <v>0</v>
      </c>
      <c r="BF7" s="196">
        <f t="shared" si="77"/>
        <v>110.04</v>
      </c>
      <c r="BG7" s="197">
        <f t="shared" si="78"/>
        <v>663.52227686136007</v>
      </c>
      <c r="BH7" s="197">
        <f t="shared" si="79"/>
        <v>663.52227686136007</v>
      </c>
      <c r="BI7" s="198"/>
      <c r="BJ7" s="194">
        <v>0</v>
      </c>
      <c r="BK7" s="195">
        <v>0</v>
      </c>
      <c r="BL7" s="196">
        <f t="shared" si="80"/>
        <v>110.04</v>
      </c>
      <c r="BM7" s="197">
        <f t="shared" si="81"/>
        <v>663.52227686136007</v>
      </c>
      <c r="BN7" s="197">
        <f t="shared" si="82"/>
        <v>663.52227686136007</v>
      </c>
      <c r="BO7" s="198"/>
      <c r="BP7" s="201">
        <f t="shared" si="65"/>
        <v>-20.09</v>
      </c>
      <c r="BQ7" s="199"/>
      <c r="BR7" s="200"/>
      <c r="BS7" s="201" t="s">
        <v>114</v>
      </c>
      <c r="BT7" s="201" t="s">
        <v>114</v>
      </c>
      <c r="BU7" s="183" t="s">
        <v>114</v>
      </c>
      <c r="BV7" s="199"/>
      <c r="BW7" s="199"/>
      <c r="BX7" s="200"/>
      <c r="BY7" s="201" t="s">
        <v>114</v>
      </c>
      <c r="BZ7" s="201" t="s">
        <v>114</v>
      </c>
      <c r="CA7" s="183" t="s">
        <v>114</v>
      </c>
    </row>
    <row r="8" spans="2:83" x14ac:dyDescent="0.25">
      <c r="B8" s="164">
        <v>40664</v>
      </c>
      <c r="C8" s="165">
        <v>31</v>
      </c>
      <c r="D8" s="166">
        <v>101.36</v>
      </c>
      <c r="E8" s="167">
        <v>0.96799999999999997</v>
      </c>
      <c r="F8" s="168">
        <v>3.24</v>
      </c>
      <c r="G8" s="169">
        <v>-1.33</v>
      </c>
      <c r="H8" s="170">
        <f t="shared" si="66"/>
        <v>104.3816629070442</v>
      </c>
      <c r="I8" s="168">
        <f t="shared" si="67"/>
        <v>635.84070753599997</v>
      </c>
      <c r="J8" s="168">
        <f t="shared" si="55"/>
        <v>637.17070753600001</v>
      </c>
      <c r="K8" s="171">
        <f t="shared" si="56"/>
        <v>1.031965272296764</v>
      </c>
      <c r="L8" s="172">
        <f t="shared" si="68"/>
        <v>1.5099999999999998</v>
      </c>
      <c r="M8" s="168">
        <v>4.75</v>
      </c>
      <c r="N8" s="168">
        <f t="shared" si="57"/>
        <v>101.05869748101509</v>
      </c>
      <c r="O8" s="173">
        <f t="shared" si="58"/>
        <v>615.59886975760003</v>
      </c>
      <c r="P8" s="174">
        <f t="shared" si="59"/>
        <v>646.36886975760001</v>
      </c>
      <c r="Q8" s="175">
        <f t="shared" si="60"/>
        <v>1.0468626677190214</v>
      </c>
      <c r="R8" s="176"/>
      <c r="S8" s="177"/>
      <c r="T8" s="178">
        <f t="shared" si="61"/>
        <v>586.66425349759993</v>
      </c>
      <c r="U8" s="178">
        <f t="shared" si="62"/>
        <v>617.43425349759991</v>
      </c>
      <c r="V8" s="177"/>
      <c r="W8" s="176"/>
      <c r="X8" s="179">
        <v>-30.77</v>
      </c>
      <c r="Y8" s="180">
        <v>0.28999999999999998</v>
      </c>
      <c r="Z8" s="181"/>
      <c r="AA8" s="182">
        <v>-15.7</v>
      </c>
      <c r="AB8" s="182">
        <f t="shared" si="69"/>
        <v>521.5440420722399</v>
      </c>
      <c r="AC8" s="183">
        <f t="shared" si="70"/>
        <v>85.66</v>
      </c>
      <c r="AD8" s="184"/>
      <c r="AE8" s="184"/>
      <c r="AF8" s="184"/>
      <c r="AG8" s="185">
        <f t="shared" si="63"/>
        <v>20.45</v>
      </c>
      <c r="AH8" s="186">
        <f t="shared" si="64"/>
        <v>0.84510655090765585</v>
      </c>
      <c r="AI8" s="187"/>
      <c r="AJ8" s="188"/>
      <c r="AK8" s="189"/>
      <c r="AL8" s="190"/>
      <c r="AM8" s="191"/>
      <c r="AN8" s="192"/>
      <c r="AO8" s="168"/>
      <c r="AP8" s="193"/>
      <c r="AQ8" s="165"/>
      <c r="AR8" s="194">
        <v>0</v>
      </c>
      <c r="AS8" s="195">
        <v>0</v>
      </c>
      <c r="AT8" s="196">
        <f t="shared" si="71"/>
        <v>101.36000000000001</v>
      </c>
      <c r="AU8" s="197">
        <f t="shared" si="72"/>
        <v>617.43425349760003</v>
      </c>
      <c r="AV8" s="197">
        <f t="shared" si="73"/>
        <v>617.43425349760003</v>
      </c>
      <c r="AW8" s="198"/>
      <c r="AX8" s="194">
        <v>0</v>
      </c>
      <c r="AY8" s="195">
        <v>0</v>
      </c>
      <c r="AZ8" s="196">
        <f t="shared" si="74"/>
        <v>101.36000000000001</v>
      </c>
      <c r="BA8" s="197">
        <f t="shared" si="75"/>
        <v>617.43425349760003</v>
      </c>
      <c r="BB8" s="197">
        <f t="shared" si="76"/>
        <v>617.43425349760003</v>
      </c>
      <c r="BC8" s="198"/>
      <c r="BD8" s="194">
        <v>0</v>
      </c>
      <c r="BE8" s="195">
        <v>0</v>
      </c>
      <c r="BF8" s="196">
        <f t="shared" si="77"/>
        <v>101.36000000000001</v>
      </c>
      <c r="BG8" s="197">
        <f t="shared" si="78"/>
        <v>617.43425349760003</v>
      </c>
      <c r="BH8" s="197">
        <f t="shared" si="79"/>
        <v>617.43425349760003</v>
      </c>
      <c r="BI8" s="198"/>
      <c r="BJ8" s="194">
        <v>0</v>
      </c>
      <c r="BK8" s="195">
        <v>0</v>
      </c>
      <c r="BL8" s="196">
        <f t="shared" si="80"/>
        <v>101.36000000000001</v>
      </c>
      <c r="BM8" s="197">
        <f t="shared" si="81"/>
        <v>617.43425349760003</v>
      </c>
      <c r="BN8" s="197">
        <f t="shared" si="82"/>
        <v>617.43425349760003</v>
      </c>
      <c r="BO8" s="198"/>
      <c r="BP8" s="201">
        <f t="shared" si="65"/>
        <v>-15.45</v>
      </c>
      <c r="BQ8" s="199"/>
      <c r="BR8" s="200"/>
      <c r="BS8" s="201" t="s">
        <v>114</v>
      </c>
      <c r="BT8" s="201" t="s">
        <v>114</v>
      </c>
      <c r="BU8" s="183" t="s">
        <v>114</v>
      </c>
      <c r="BV8" s="199"/>
      <c r="BW8" s="199"/>
      <c r="BX8" s="200"/>
      <c r="BY8" s="201" t="s">
        <v>114</v>
      </c>
      <c r="BZ8" s="201" t="s">
        <v>114</v>
      </c>
      <c r="CA8" s="183" t="s">
        <v>114</v>
      </c>
    </row>
    <row r="9" spans="2:83" x14ac:dyDescent="0.25">
      <c r="B9" s="164">
        <v>40695</v>
      </c>
      <c r="C9" s="165">
        <v>30</v>
      </c>
      <c r="D9" s="166">
        <v>96.29</v>
      </c>
      <c r="E9" s="167">
        <v>0.9768</v>
      </c>
      <c r="F9" s="168">
        <v>4.04</v>
      </c>
      <c r="G9" s="169">
        <v>-1.36</v>
      </c>
      <c r="H9" s="170">
        <f t="shared" si="66"/>
        <v>100.10874937948802</v>
      </c>
      <c r="I9" s="168">
        <f t="shared" si="67"/>
        <v>615.35601048728006</v>
      </c>
      <c r="J9" s="168">
        <f t="shared" si="55"/>
        <v>616.71601048728007</v>
      </c>
      <c r="K9" s="171">
        <f t="shared" si="56"/>
        <v>1.0419565894693115</v>
      </c>
      <c r="L9" s="172">
        <f t="shared" si="68"/>
        <v>6.22</v>
      </c>
      <c r="M9" s="168">
        <v>10.26</v>
      </c>
      <c r="N9" s="168">
        <f t="shared" si="57"/>
        <v>103.44110341324675</v>
      </c>
      <c r="O9" s="173">
        <f t="shared" si="58"/>
        <v>635.83957557480005</v>
      </c>
      <c r="P9" s="174">
        <f t="shared" si="59"/>
        <v>654.94957557480006</v>
      </c>
      <c r="Q9" s="175">
        <f t="shared" si="60"/>
        <v>1.1065531207809742</v>
      </c>
      <c r="R9" s="176"/>
      <c r="S9" s="177"/>
      <c r="T9" s="178">
        <f t="shared" si="61"/>
        <v>572.77263380663999</v>
      </c>
      <c r="U9" s="178">
        <f t="shared" si="62"/>
        <v>591.88263380664</v>
      </c>
      <c r="V9" s="177"/>
      <c r="W9" s="176"/>
      <c r="X9" s="179">
        <v>-19.11</v>
      </c>
      <c r="Y9" s="180">
        <v>0.43</v>
      </c>
      <c r="Z9" s="181"/>
      <c r="AA9" s="182">
        <v>-16.87</v>
      </c>
      <c r="AB9" s="182">
        <f t="shared" si="69"/>
        <v>487.94749731208799</v>
      </c>
      <c r="AC9" s="183">
        <f t="shared" si="70"/>
        <v>79.42</v>
      </c>
      <c r="AD9" s="184"/>
      <c r="AE9" s="184"/>
      <c r="AF9" s="184"/>
      <c r="AG9" s="185">
        <f t="shared" si="63"/>
        <v>27.130000000000003</v>
      </c>
      <c r="AH9" s="186">
        <f t="shared" si="64"/>
        <v>0.82480008308235531</v>
      </c>
      <c r="AI9" s="187"/>
      <c r="AJ9" s="188"/>
      <c r="AK9" s="189"/>
      <c r="AL9" s="190"/>
      <c r="AM9" s="191"/>
      <c r="AN9" s="192"/>
      <c r="AO9" s="168"/>
      <c r="AP9" s="193"/>
      <c r="AQ9" s="165"/>
      <c r="AR9" s="194">
        <v>0</v>
      </c>
      <c r="AS9" s="195">
        <v>0</v>
      </c>
      <c r="AT9" s="196">
        <f t="shared" si="71"/>
        <v>96.290000000000035</v>
      </c>
      <c r="AU9" s="197">
        <f t="shared" si="72"/>
        <v>591.88263380664011</v>
      </c>
      <c r="AV9" s="197">
        <f t="shared" si="73"/>
        <v>591.88263380664011</v>
      </c>
      <c r="AW9" s="198"/>
      <c r="AX9" s="194">
        <v>0</v>
      </c>
      <c r="AY9" s="195">
        <v>0</v>
      </c>
      <c r="AZ9" s="196">
        <f t="shared" si="74"/>
        <v>96.290000000000035</v>
      </c>
      <c r="BA9" s="197">
        <f t="shared" si="75"/>
        <v>591.88263380664011</v>
      </c>
      <c r="BB9" s="197">
        <f t="shared" si="76"/>
        <v>591.88263380664011</v>
      </c>
      <c r="BC9" s="198"/>
      <c r="BD9" s="194">
        <v>0</v>
      </c>
      <c r="BE9" s="195">
        <v>0</v>
      </c>
      <c r="BF9" s="196">
        <f t="shared" si="77"/>
        <v>96.290000000000035</v>
      </c>
      <c r="BG9" s="197">
        <f t="shared" si="78"/>
        <v>591.88263380664011</v>
      </c>
      <c r="BH9" s="197">
        <f t="shared" si="79"/>
        <v>591.88263380664011</v>
      </c>
      <c r="BI9" s="198"/>
      <c r="BJ9" s="194">
        <v>0</v>
      </c>
      <c r="BK9" s="195">
        <v>0</v>
      </c>
      <c r="BL9" s="196">
        <f t="shared" si="80"/>
        <v>96.290000000000035</v>
      </c>
      <c r="BM9" s="197">
        <f t="shared" si="81"/>
        <v>591.88263380664011</v>
      </c>
      <c r="BN9" s="197">
        <f t="shared" si="82"/>
        <v>591.88263380664011</v>
      </c>
      <c r="BO9" s="198"/>
      <c r="BP9" s="201">
        <f t="shared" si="65"/>
        <v>-16.62</v>
      </c>
      <c r="BQ9" s="199"/>
      <c r="BR9" s="200"/>
      <c r="BS9" s="201" t="s">
        <v>114</v>
      </c>
      <c r="BT9" s="201" t="s">
        <v>114</v>
      </c>
      <c r="BU9" s="183" t="s">
        <v>114</v>
      </c>
      <c r="BV9" s="199"/>
      <c r="BW9" s="199"/>
      <c r="BX9" s="200"/>
      <c r="BY9" s="201" t="s">
        <v>114</v>
      </c>
      <c r="BZ9" s="201" t="s">
        <v>114</v>
      </c>
      <c r="CA9" s="183" t="s">
        <v>114</v>
      </c>
    </row>
    <row r="10" spans="2:83" x14ac:dyDescent="0.25">
      <c r="B10" s="164">
        <v>40725</v>
      </c>
      <c r="C10" s="165">
        <v>31</v>
      </c>
      <c r="D10" s="166">
        <v>97.34</v>
      </c>
      <c r="E10" s="167">
        <v>0.95530000000000004</v>
      </c>
      <c r="F10" s="168">
        <v>2.69</v>
      </c>
      <c r="G10" s="169">
        <v>-0.94</v>
      </c>
      <c r="H10" s="170">
        <f t="shared" si="66"/>
        <v>99.873635084028734</v>
      </c>
      <c r="I10" s="168">
        <f t="shared" si="67"/>
        <v>600.39821846132986</v>
      </c>
      <c r="J10" s="168">
        <f t="shared" si="55"/>
        <v>601.33821846132992</v>
      </c>
      <c r="K10" s="171">
        <f t="shared" si="56"/>
        <v>1.0276350934867475</v>
      </c>
      <c r="L10" s="172">
        <f t="shared" si="68"/>
        <v>8.0200000000000014</v>
      </c>
      <c r="M10" s="168">
        <v>10.71</v>
      </c>
      <c r="N10" s="168">
        <f t="shared" si="57"/>
        <v>104.27062671184412</v>
      </c>
      <c r="O10" s="173">
        <f t="shared" si="58"/>
        <v>626.83107972355003</v>
      </c>
      <c r="P10" s="174">
        <f t="shared" si="59"/>
        <v>649.55107972355006</v>
      </c>
      <c r="Q10" s="175">
        <f t="shared" si="60"/>
        <v>1.1100267104992809</v>
      </c>
      <c r="R10" s="176"/>
      <c r="S10" s="177"/>
      <c r="T10" s="178">
        <f t="shared" si="61"/>
        <v>562.44707172873996</v>
      </c>
      <c r="U10" s="178">
        <f t="shared" si="62"/>
        <v>585.16707172873998</v>
      </c>
      <c r="V10" s="177"/>
      <c r="W10" s="176"/>
      <c r="X10" s="179">
        <v>-22.72</v>
      </c>
      <c r="Y10" s="180">
        <v>0.47</v>
      </c>
      <c r="Z10" s="181"/>
      <c r="AA10" s="182">
        <v>-19.03</v>
      </c>
      <c r="AB10" s="182">
        <f t="shared" si="69"/>
        <v>470.53784906160149</v>
      </c>
      <c r="AC10" s="183">
        <f t="shared" si="70"/>
        <v>78.31</v>
      </c>
      <c r="AD10" s="184"/>
      <c r="AE10" s="184"/>
      <c r="AF10" s="184"/>
      <c r="AG10" s="185">
        <f t="shared" si="63"/>
        <v>29.740000000000002</v>
      </c>
      <c r="AH10" s="186">
        <f t="shared" si="64"/>
        <v>0.80449969180193137</v>
      </c>
      <c r="AI10" s="187"/>
      <c r="AJ10" s="188"/>
      <c r="AK10" s="189"/>
      <c r="AL10" s="190"/>
      <c r="AM10" s="191"/>
      <c r="AN10" s="192"/>
      <c r="AO10" s="168"/>
      <c r="AP10" s="193"/>
      <c r="AQ10" s="165"/>
      <c r="AR10" s="194">
        <v>0</v>
      </c>
      <c r="AS10" s="195">
        <v>0</v>
      </c>
      <c r="AT10" s="196">
        <f t="shared" si="71"/>
        <v>97.340000000000018</v>
      </c>
      <c r="AU10" s="197">
        <f t="shared" si="72"/>
        <v>585.1670717287401</v>
      </c>
      <c r="AV10" s="197">
        <f t="shared" si="73"/>
        <v>585.1670717287401</v>
      </c>
      <c r="AW10" s="198"/>
      <c r="AX10" s="194">
        <v>0</v>
      </c>
      <c r="AY10" s="195">
        <v>0</v>
      </c>
      <c r="AZ10" s="196">
        <f t="shared" si="74"/>
        <v>97.340000000000018</v>
      </c>
      <c r="BA10" s="197">
        <f t="shared" si="75"/>
        <v>585.1670717287401</v>
      </c>
      <c r="BB10" s="197">
        <f t="shared" si="76"/>
        <v>585.1670717287401</v>
      </c>
      <c r="BC10" s="198"/>
      <c r="BD10" s="194">
        <v>0</v>
      </c>
      <c r="BE10" s="195">
        <v>0</v>
      </c>
      <c r="BF10" s="196">
        <f t="shared" si="77"/>
        <v>97.340000000000018</v>
      </c>
      <c r="BG10" s="197">
        <f t="shared" si="78"/>
        <v>585.1670717287401</v>
      </c>
      <c r="BH10" s="197">
        <f t="shared" si="79"/>
        <v>585.1670717287401</v>
      </c>
      <c r="BI10" s="198"/>
      <c r="BJ10" s="194">
        <v>0</v>
      </c>
      <c r="BK10" s="195">
        <v>0</v>
      </c>
      <c r="BL10" s="196">
        <f t="shared" si="80"/>
        <v>97.340000000000018</v>
      </c>
      <c r="BM10" s="197">
        <f t="shared" si="81"/>
        <v>585.1670717287401</v>
      </c>
      <c r="BN10" s="197">
        <f t="shared" si="82"/>
        <v>585.1670717287401</v>
      </c>
      <c r="BO10" s="198"/>
      <c r="BP10" s="201">
        <f t="shared" si="65"/>
        <v>-18.78</v>
      </c>
      <c r="BQ10" s="199"/>
      <c r="BR10" s="200"/>
      <c r="BS10" s="201" t="s">
        <v>114</v>
      </c>
      <c r="BT10" s="201" t="s">
        <v>114</v>
      </c>
      <c r="BU10" s="183" t="s">
        <v>114</v>
      </c>
      <c r="BV10" s="199"/>
      <c r="BW10" s="199"/>
      <c r="BX10" s="200"/>
      <c r="BY10" s="201" t="s">
        <v>114</v>
      </c>
      <c r="BZ10" s="201" t="s">
        <v>114</v>
      </c>
      <c r="CA10" s="183" t="s">
        <v>114</v>
      </c>
    </row>
    <row r="11" spans="2:83" x14ac:dyDescent="0.25">
      <c r="B11" s="164">
        <v>40756</v>
      </c>
      <c r="C11" s="165">
        <v>31</v>
      </c>
      <c r="D11" s="166">
        <v>86.34</v>
      </c>
      <c r="E11" s="167">
        <v>0.98280000000000001</v>
      </c>
      <c r="F11" s="168">
        <v>3.58</v>
      </c>
      <c r="G11" s="169">
        <v>-1.1000000000000001</v>
      </c>
      <c r="H11" s="170">
        <f t="shared" si="66"/>
        <v>89.742139799606363</v>
      </c>
      <c r="I11" s="168">
        <f t="shared" si="67"/>
        <v>555.02216662911997</v>
      </c>
      <c r="J11" s="168">
        <f t="shared" si="55"/>
        <v>556.12216662911999</v>
      </c>
      <c r="K11" s="171">
        <f t="shared" si="56"/>
        <v>1.0414639796154737</v>
      </c>
      <c r="L11" s="172">
        <f t="shared" si="68"/>
        <v>7.98</v>
      </c>
      <c r="M11" s="168">
        <v>11.56</v>
      </c>
      <c r="N11" s="168">
        <f t="shared" si="57"/>
        <v>94.074388780624091</v>
      </c>
      <c r="O11" s="173">
        <f t="shared" si="58"/>
        <v>581.81553506440002</v>
      </c>
      <c r="P11" s="174">
        <f t="shared" si="59"/>
        <v>605.47553506439999</v>
      </c>
      <c r="Q11" s="175">
        <f t="shared" si="60"/>
        <v>1.1338892749594627</v>
      </c>
      <c r="R11" s="176"/>
      <c r="S11" s="177"/>
      <c r="T11" s="178">
        <f t="shared" si="61"/>
        <v>510.32118179223988</v>
      </c>
      <c r="U11" s="178">
        <f t="shared" si="62"/>
        <v>533.98118179223991</v>
      </c>
      <c r="V11" s="177"/>
      <c r="W11" s="176"/>
      <c r="X11" s="179">
        <v>-23.66</v>
      </c>
      <c r="Y11" s="180">
        <v>0.49</v>
      </c>
      <c r="Z11" s="181"/>
      <c r="AA11" s="182">
        <v>-19.829999999999998</v>
      </c>
      <c r="AB11" s="182">
        <f t="shared" si="69"/>
        <v>411.13992925769401</v>
      </c>
      <c r="AC11" s="183">
        <f t="shared" si="70"/>
        <v>66.510000000000005</v>
      </c>
      <c r="AD11" s="184"/>
      <c r="AE11" s="184"/>
      <c r="AF11" s="184"/>
      <c r="AG11" s="185">
        <f t="shared" si="63"/>
        <v>31.39</v>
      </c>
      <c r="AH11" s="186">
        <f t="shared" si="64"/>
        <v>0.77032661570535099</v>
      </c>
      <c r="AI11" s="187"/>
      <c r="AJ11" s="188"/>
      <c r="AK11" s="189"/>
      <c r="AL11" s="190"/>
      <c r="AM11" s="191"/>
      <c r="AN11" s="192"/>
      <c r="AO11" s="168"/>
      <c r="AP11" s="193"/>
      <c r="AQ11" s="165"/>
      <c r="AR11" s="194">
        <v>0</v>
      </c>
      <c r="AS11" s="195">
        <v>0</v>
      </c>
      <c r="AT11" s="196">
        <f t="shared" si="71"/>
        <v>86.34</v>
      </c>
      <c r="AU11" s="197">
        <f t="shared" si="72"/>
        <v>533.98118179224002</v>
      </c>
      <c r="AV11" s="197">
        <f t="shared" si="73"/>
        <v>533.98118179224002</v>
      </c>
      <c r="AW11" s="198"/>
      <c r="AX11" s="194">
        <v>0</v>
      </c>
      <c r="AY11" s="195">
        <v>0</v>
      </c>
      <c r="AZ11" s="196">
        <f t="shared" si="74"/>
        <v>86.34</v>
      </c>
      <c r="BA11" s="197">
        <f t="shared" si="75"/>
        <v>533.98118179224002</v>
      </c>
      <c r="BB11" s="197">
        <f t="shared" si="76"/>
        <v>533.98118179224002</v>
      </c>
      <c r="BC11" s="198"/>
      <c r="BD11" s="194">
        <v>0</v>
      </c>
      <c r="BE11" s="195">
        <v>0</v>
      </c>
      <c r="BF11" s="196">
        <f t="shared" si="77"/>
        <v>86.34</v>
      </c>
      <c r="BG11" s="197">
        <f t="shared" si="78"/>
        <v>533.98118179224002</v>
      </c>
      <c r="BH11" s="197">
        <f t="shared" si="79"/>
        <v>533.98118179224002</v>
      </c>
      <c r="BI11" s="198"/>
      <c r="BJ11" s="194">
        <v>0</v>
      </c>
      <c r="BK11" s="195">
        <v>0</v>
      </c>
      <c r="BL11" s="196">
        <f t="shared" si="80"/>
        <v>86.34</v>
      </c>
      <c r="BM11" s="197">
        <f t="shared" si="81"/>
        <v>533.98118179224002</v>
      </c>
      <c r="BN11" s="197">
        <f t="shared" si="82"/>
        <v>533.98118179224002</v>
      </c>
      <c r="BO11" s="198"/>
      <c r="BP11" s="201">
        <f t="shared" si="65"/>
        <v>-19.579999999999998</v>
      </c>
      <c r="BQ11" s="199"/>
      <c r="BR11" s="200"/>
      <c r="BS11" s="201" t="s">
        <v>114</v>
      </c>
      <c r="BT11" s="201" t="s">
        <v>114</v>
      </c>
      <c r="BU11" s="183" t="s">
        <v>114</v>
      </c>
      <c r="BV11" s="199"/>
      <c r="BW11" s="199"/>
      <c r="BX11" s="200"/>
      <c r="BY11" s="201" t="s">
        <v>114</v>
      </c>
      <c r="BZ11" s="201" t="s">
        <v>114</v>
      </c>
      <c r="CA11" s="183" t="s">
        <v>114</v>
      </c>
    </row>
    <row r="12" spans="2:83" x14ac:dyDescent="0.25">
      <c r="B12" s="164">
        <v>40787</v>
      </c>
      <c r="C12" s="165">
        <v>30</v>
      </c>
      <c r="D12" s="166">
        <v>85.61</v>
      </c>
      <c r="E12" s="167">
        <v>1.0025999999999999</v>
      </c>
      <c r="F12" s="168">
        <v>6.37</v>
      </c>
      <c r="G12" s="169">
        <v>-0.98</v>
      </c>
      <c r="H12" s="170">
        <f t="shared" si="66"/>
        <v>91.824672048267303</v>
      </c>
      <c r="I12" s="168">
        <f t="shared" si="67"/>
        <v>579.34310987475999</v>
      </c>
      <c r="J12" s="168">
        <f t="shared" si="55"/>
        <v>580.32310987476001</v>
      </c>
      <c r="K12" s="171">
        <f t="shared" si="56"/>
        <v>1.0744071954210956</v>
      </c>
      <c r="L12" s="172">
        <f t="shared" si="68"/>
        <v>7.19</v>
      </c>
      <c r="M12" s="168">
        <v>13.56</v>
      </c>
      <c r="N12" s="168">
        <f t="shared" si="57"/>
        <v>94.497481615224345</v>
      </c>
      <c r="O12" s="173">
        <f t="shared" si="58"/>
        <v>596.20648408653994</v>
      </c>
      <c r="P12" s="174">
        <f t="shared" si="59"/>
        <v>625.68648408653996</v>
      </c>
      <c r="Q12" s="175">
        <f t="shared" si="60"/>
        <v>1.1583927111318773</v>
      </c>
      <c r="R12" s="176"/>
      <c r="S12" s="177"/>
      <c r="T12" s="178">
        <f t="shared" si="61"/>
        <v>510.65330546181985</v>
      </c>
      <c r="U12" s="178">
        <f t="shared" si="62"/>
        <v>540.13330546181987</v>
      </c>
      <c r="V12" s="177"/>
      <c r="W12" s="176"/>
      <c r="X12" s="179">
        <v>-29.48</v>
      </c>
      <c r="Y12" s="180">
        <v>0.44</v>
      </c>
      <c r="Z12" s="181"/>
      <c r="AA12" s="182">
        <v>-14.01</v>
      </c>
      <c r="AB12" s="182">
        <f t="shared" si="69"/>
        <v>451.52134292267993</v>
      </c>
      <c r="AC12" s="183">
        <f t="shared" si="70"/>
        <v>71.599999999999994</v>
      </c>
      <c r="AD12" s="184"/>
      <c r="AE12" s="184"/>
      <c r="AF12" s="184"/>
      <c r="AG12" s="185">
        <f t="shared" si="63"/>
        <v>27.57</v>
      </c>
      <c r="AH12" s="186">
        <f t="shared" si="64"/>
        <v>0.83635089358719772</v>
      </c>
      <c r="AI12" s="187"/>
      <c r="AJ12" s="188"/>
      <c r="AK12" s="189"/>
      <c r="AL12" s="190"/>
      <c r="AM12" s="191"/>
      <c r="AN12" s="192"/>
      <c r="AO12" s="168"/>
      <c r="AP12" s="193"/>
      <c r="AQ12" s="165"/>
      <c r="AR12" s="194">
        <v>0</v>
      </c>
      <c r="AS12" s="195">
        <v>0</v>
      </c>
      <c r="AT12" s="196">
        <f t="shared" si="71"/>
        <v>85.609999999999985</v>
      </c>
      <c r="AU12" s="197">
        <f t="shared" si="72"/>
        <v>540.13330546181987</v>
      </c>
      <c r="AV12" s="197">
        <f t="shared" si="73"/>
        <v>540.13330546181987</v>
      </c>
      <c r="AW12" s="198"/>
      <c r="AX12" s="194">
        <v>0</v>
      </c>
      <c r="AY12" s="195">
        <v>0</v>
      </c>
      <c r="AZ12" s="196">
        <f t="shared" si="74"/>
        <v>85.609999999999985</v>
      </c>
      <c r="BA12" s="197">
        <f t="shared" si="75"/>
        <v>540.13330546181987</v>
      </c>
      <c r="BB12" s="197">
        <f t="shared" si="76"/>
        <v>540.13330546181987</v>
      </c>
      <c r="BC12" s="198"/>
      <c r="BD12" s="194">
        <v>0</v>
      </c>
      <c r="BE12" s="195">
        <v>0</v>
      </c>
      <c r="BF12" s="196">
        <f t="shared" si="77"/>
        <v>85.609999999999985</v>
      </c>
      <c r="BG12" s="197">
        <f t="shared" si="78"/>
        <v>540.13330546181987</v>
      </c>
      <c r="BH12" s="197">
        <f t="shared" si="79"/>
        <v>540.13330546181987</v>
      </c>
      <c r="BI12" s="198"/>
      <c r="BJ12" s="194">
        <v>0</v>
      </c>
      <c r="BK12" s="195">
        <v>0</v>
      </c>
      <c r="BL12" s="196">
        <f t="shared" si="80"/>
        <v>85.609999999999985</v>
      </c>
      <c r="BM12" s="197">
        <f t="shared" si="81"/>
        <v>540.13330546181987</v>
      </c>
      <c r="BN12" s="197">
        <f t="shared" si="82"/>
        <v>540.13330546181987</v>
      </c>
      <c r="BO12" s="198"/>
      <c r="BP12" s="201">
        <f t="shared" si="65"/>
        <v>-13.76</v>
      </c>
      <c r="BQ12" s="199"/>
      <c r="BR12" s="200"/>
      <c r="BS12" s="201" t="s">
        <v>114</v>
      </c>
      <c r="BT12" s="201" t="s">
        <v>114</v>
      </c>
      <c r="BU12" s="183" t="s">
        <v>114</v>
      </c>
      <c r="BV12" s="199"/>
      <c r="BW12" s="199"/>
      <c r="BX12" s="200"/>
      <c r="BY12" s="201" t="s">
        <v>114</v>
      </c>
      <c r="BZ12" s="201" t="s">
        <v>114</v>
      </c>
      <c r="CA12" s="183" t="s">
        <v>114</v>
      </c>
    </row>
    <row r="13" spans="2:83" x14ac:dyDescent="0.25">
      <c r="B13" s="164">
        <v>40817</v>
      </c>
      <c r="C13" s="165">
        <v>31</v>
      </c>
      <c r="D13" s="166">
        <v>86.43</v>
      </c>
      <c r="E13" s="167">
        <v>1.0198</v>
      </c>
      <c r="F13" s="168">
        <v>5.2</v>
      </c>
      <c r="G13" s="169">
        <v>-0.68</v>
      </c>
      <c r="H13" s="170">
        <f t="shared" si="66"/>
        <v>91.524039220378469</v>
      </c>
      <c r="I13" s="168">
        <f t="shared" si="67"/>
        <v>587.35266852638017</v>
      </c>
      <c r="J13" s="168">
        <f t="shared" si="55"/>
        <v>588.03266852638012</v>
      </c>
      <c r="K13" s="171">
        <f t="shared" si="56"/>
        <v>1.0601642948050445</v>
      </c>
      <c r="L13" s="172">
        <f t="shared" si="68"/>
        <v>13.46</v>
      </c>
      <c r="M13" s="168">
        <v>18.66</v>
      </c>
      <c r="N13" s="168">
        <f t="shared" si="57"/>
        <v>101.83014777987799</v>
      </c>
      <c r="O13" s="173">
        <f t="shared" si="58"/>
        <v>653.49179892434017</v>
      </c>
      <c r="P13" s="174">
        <f t="shared" si="59"/>
        <v>674.41179892434013</v>
      </c>
      <c r="Q13" s="175">
        <f t="shared" si="60"/>
        <v>1.2158972578965637</v>
      </c>
      <c r="R13" s="176"/>
      <c r="S13" s="177"/>
      <c r="T13" s="178">
        <f t="shared" si="61"/>
        <v>533.74183063118005</v>
      </c>
      <c r="U13" s="178">
        <f t="shared" si="62"/>
        <v>554.66183063118001</v>
      </c>
      <c r="V13" s="177"/>
      <c r="W13" s="176"/>
      <c r="X13" s="179">
        <v>-20.92</v>
      </c>
      <c r="Y13" s="180">
        <v>0.47</v>
      </c>
      <c r="Z13" s="181"/>
      <c r="AA13" s="182">
        <v>-9.89</v>
      </c>
      <c r="AB13" s="182">
        <f t="shared" si="69"/>
        <v>490.95425316426605</v>
      </c>
      <c r="AC13" s="183">
        <f t="shared" si="70"/>
        <v>76.540000000000006</v>
      </c>
      <c r="AD13" s="184"/>
      <c r="AE13" s="184"/>
      <c r="AF13" s="184"/>
      <c r="AG13" s="185">
        <f t="shared" si="63"/>
        <v>28.55</v>
      </c>
      <c r="AH13" s="186">
        <f t="shared" si="64"/>
        <v>0.88557213930348255</v>
      </c>
      <c r="AI13" s="187"/>
      <c r="AJ13" s="188"/>
      <c r="AK13" s="189"/>
      <c r="AL13" s="190"/>
      <c r="AM13" s="191"/>
      <c r="AN13" s="192"/>
      <c r="AO13" s="168"/>
      <c r="AP13" s="193"/>
      <c r="AQ13" s="165"/>
      <c r="AR13" s="194">
        <v>0</v>
      </c>
      <c r="AS13" s="195">
        <v>0</v>
      </c>
      <c r="AT13" s="196">
        <f t="shared" si="71"/>
        <v>86.430000000000021</v>
      </c>
      <c r="AU13" s="197">
        <f t="shared" si="72"/>
        <v>554.66183063118012</v>
      </c>
      <c r="AV13" s="197">
        <f t="shared" si="73"/>
        <v>554.66183063118012</v>
      </c>
      <c r="AW13" s="198"/>
      <c r="AX13" s="194">
        <v>0</v>
      </c>
      <c r="AY13" s="195">
        <v>0</v>
      </c>
      <c r="AZ13" s="196">
        <f t="shared" si="74"/>
        <v>86.430000000000021</v>
      </c>
      <c r="BA13" s="197">
        <f t="shared" si="75"/>
        <v>554.66183063118012</v>
      </c>
      <c r="BB13" s="197">
        <f t="shared" si="76"/>
        <v>554.66183063118012</v>
      </c>
      <c r="BC13" s="198"/>
      <c r="BD13" s="194">
        <v>0</v>
      </c>
      <c r="BE13" s="195">
        <v>0</v>
      </c>
      <c r="BF13" s="196">
        <f t="shared" si="77"/>
        <v>86.430000000000021</v>
      </c>
      <c r="BG13" s="197">
        <f t="shared" si="78"/>
        <v>554.66183063118012</v>
      </c>
      <c r="BH13" s="197">
        <f t="shared" si="79"/>
        <v>554.66183063118012</v>
      </c>
      <c r="BI13" s="198"/>
      <c r="BJ13" s="194">
        <v>0</v>
      </c>
      <c r="BK13" s="195">
        <v>0</v>
      </c>
      <c r="BL13" s="196">
        <f t="shared" si="80"/>
        <v>86.430000000000021</v>
      </c>
      <c r="BM13" s="197">
        <f t="shared" si="81"/>
        <v>554.66183063118012</v>
      </c>
      <c r="BN13" s="197">
        <f t="shared" si="82"/>
        <v>554.66183063118012</v>
      </c>
      <c r="BO13" s="198"/>
      <c r="BP13" s="201">
        <f t="shared" si="65"/>
        <v>-9.64</v>
      </c>
      <c r="BQ13" s="199"/>
      <c r="BR13" s="200"/>
      <c r="BS13" s="201" t="s">
        <v>114</v>
      </c>
      <c r="BT13" s="201" t="s">
        <v>114</v>
      </c>
      <c r="BU13" s="183" t="s">
        <v>114</v>
      </c>
      <c r="BV13" s="199"/>
      <c r="BW13" s="199"/>
      <c r="BX13" s="200"/>
      <c r="BY13" s="201" t="s">
        <v>114</v>
      </c>
      <c r="BZ13" s="201" t="s">
        <v>114</v>
      </c>
      <c r="CA13" s="183" t="s">
        <v>114</v>
      </c>
    </row>
    <row r="14" spans="2:83" x14ac:dyDescent="0.25">
      <c r="B14" s="164">
        <v>40848</v>
      </c>
      <c r="C14" s="165">
        <v>30</v>
      </c>
      <c r="D14" s="166">
        <v>97.16</v>
      </c>
      <c r="E14" s="167">
        <v>1.0258</v>
      </c>
      <c r="F14" s="168">
        <v>1.76</v>
      </c>
      <c r="G14" s="169">
        <v>-0.93</v>
      </c>
      <c r="H14" s="170">
        <f t="shared" si="66"/>
        <v>98.775930684166184</v>
      </c>
      <c r="I14" s="168">
        <f t="shared" si="67"/>
        <v>637.62096047032014</v>
      </c>
      <c r="J14" s="168">
        <f t="shared" si="55"/>
        <v>638.55096047032009</v>
      </c>
      <c r="K14" s="171">
        <f t="shared" si="56"/>
        <v>1.0181144503911075</v>
      </c>
      <c r="L14" s="172">
        <f t="shared" si="68"/>
        <v>14.700000000000001</v>
      </c>
      <c r="M14" s="168">
        <v>16.46</v>
      </c>
      <c r="N14" s="168">
        <f t="shared" si="57"/>
        <v>110.14529596327634</v>
      </c>
      <c r="O14" s="173">
        <f t="shared" si="58"/>
        <v>711.01278334652011</v>
      </c>
      <c r="P14" s="174">
        <f t="shared" si="59"/>
        <v>733.44278334652006</v>
      </c>
      <c r="Q14" s="175">
        <f t="shared" si="60"/>
        <v>1.1694112803622891</v>
      </c>
      <c r="R14" s="176"/>
      <c r="S14" s="177"/>
      <c r="T14" s="178">
        <f t="shared" si="61"/>
        <v>604.75976262936001</v>
      </c>
      <c r="U14" s="178">
        <f t="shared" si="62"/>
        <v>627.18976262935996</v>
      </c>
      <c r="V14" s="177"/>
      <c r="W14" s="176"/>
      <c r="X14" s="179">
        <v>-22.43</v>
      </c>
      <c r="Y14" s="180">
        <v>0.43</v>
      </c>
      <c r="Z14" s="181"/>
      <c r="AA14" s="182">
        <v>-9.84</v>
      </c>
      <c r="AB14" s="182">
        <f t="shared" si="69"/>
        <v>563.39629018378798</v>
      </c>
      <c r="AC14" s="183">
        <f t="shared" si="70"/>
        <v>87.32</v>
      </c>
      <c r="AD14" s="184"/>
      <c r="AE14" s="184"/>
      <c r="AF14" s="184"/>
      <c r="AG14" s="185">
        <f t="shared" si="63"/>
        <v>26.3</v>
      </c>
      <c r="AH14" s="186">
        <f t="shared" si="64"/>
        <v>0.89872375463153553</v>
      </c>
      <c r="AI14" s="187"/>
      <c r="AJ14" s="188"/>
      <c r="AK14" s="189"/>
      <c r="AL14" s="190"/>
      <c r="AM14" s="191"/>
      <c r="AN14" s="192"/>
      <c r="AO14" s="168"/>
      <c r="AP14" s="193"/>
      <c r="AQ14" s="165"/>
      <c r="AR14" s="194">
        <v>0</v>
      </c>
      <c r="AS14" s="195">
        <v>0</v>
      </c>
      <c r="AT14" s="196">
        <f t="shared" si="71"/>
        <v>97.16</v>
      </c>
      <c r="AU14" s="197">
        <f t="shared" si="72"/>
        <v>627.18976262935996</v>
      </c>
      <c r="AV14" s="197">
        <f t="shared" si="73"/>
        <v>627.18976262935996</v>
      </c>
      <c r="AW14" s="198"/>
      <c r="AX14" s="194">
        <v>0</v>
      </c>
      <c r="AY14" s="195">
        <v>0</v>
      </c>
      <c r="AZ14" s="196">
        <f t="shared" si="74"/>
        <v>97.16</v>
      </c>
      <c r="BA14" s="197">
        <f t="shared" si="75"/>
        <v>627.18976262935996</v>
      </c>
      <c r="BB14" s="197">
        <f t="shared" si="76"/>
        <v>627.18976262935996</v>
      </c>
      <c r="BC14" s="198"/>
      <c r="BD14" s="194">
        <v>0</v>
      </c>
      <c r="BE14" s="195">
        <v>0</v>
      </c>
      <c r="BF14" s="196">
        <f t="shared" si="77"/>
        <v>97.16</v>
      </c>
      <c r="BG14" s="197">
        <f t="shared" si="78"/>
        <v>627.18976262935996</v>
      </c>
      <c r="BH14" s="197">
        <f t="shared" si="79"/>
        <v>627.18976262935996</v>
      </c>
      <c r="BI14" s="198"/>
      <c r="BJ14" s="194">
        <v>0</v>
      </c>
      <c r="BK14" s="195">
        <v>0</v>
      </c>
      <c r="BL14" s="196">
        <f t="shared" si="80"/>
        <v>97.16</v>
      </c>
      <c r="BM14" s="197">
        <f t="shared" si="81"/>
        <v>627.18976262935996</v>
      </c>
      <c r="BN14" s="197">
        <f t="shared" si="82"/>
        <v>627.18976262935996</v>
      </c>
      <c r="BO14" s="198"/>
      <c r="BP14" s="201">
        <f t="shared" si="65"/>
        <v>-9.59</v>
      </c>
      <c r="BQ14" s="199"/>
      <c r="BR14" s="200"/>
      <c r="BS14" s="201" t="s">
        <v>114</v>
      </c>
      <c r="BT14" s="201" t="s">
        <v>114</v>
      </c>
      <c r="BU14" s="183" t="s">
        <v>114</v>
      </c>
      <c r="BV14" s="199"/>
      <c r="BW14" s="199"/>
      <c r="BX14" s="200"/>
      <c r="BY14" s="201" t="s">
        <v>114</v>
      </c>
      <c r="BZ14" s="201" t="s">
        <v>114</v>
      </c>
      <c r="CA14" s="183" t="s">
        <v>114</v>
      </c>
    </row>
    <row r="15" spans="2:83" x14ac:dyDescent="0.25">
      <c r="B15" s="202">
        <v>40878</v>
      </c>
      <c r="C15" s="203">
        <v>31</v>
      </c>
      <c r="D15" s="204">
        <v>98.58</v>
      </c>
      <c r="E15" s="205">
        <v>1.0238</v>
      </c>
      <c r="F15" s="206">
        <v>-2.67</v>
      </c>
      <c r="G15" s="207">
        <v>-1.36</v>
      </c>
      <c r="H15" s="208">
        <f t="shared" si="66"/>
        <v>95.69890642106256</v>
      </c>
      <c r="I15" s="206">
        <f t="shared" si="67"/>
        <v>616.55363174845991</v>
      </c>
      <c r="J15" s="206">
        <f t="shared" si="55"/>
        <v>617.91363174845992</v>
      </c>
      <c r="K15" s="209">
        <f t="shared" si="56"/>
        <v>0.97291539866098597</v>
      </c>
      <c r="L15" s="210">
        <f t="shared" si="68"/>
        <v>11.58</v>
      </c>
      <c r="M15" s="206">
        <v>8.91</v>
      </c>
      <c r="N15" s="206">
        <f t="shared" si="57"/>
        <v>104.21184089179539</v>
      </c>
      <c r="O15" s="211">
        <f t="shared" si="58"/>
        <v>671.39940649194</v>
      </c>
      <c r="P15" s="212">
        <f t="shared" si="59"/>
        <v>692.51940649194</v>
      </c>
      <c r="Q15" s="213">
        <f t="shared" si="60"/>
        <v>1.0903834449178331</v>
      </c>
      <c r="R15" s="214"/>
      <c r="S15" s="215"/>
      <c r="T15" s="216">
        <f t="shared" si="61"/>
        <v>613.99548136547992</v>
      </c>
      <c r="U15" s="216">
        <f t="shared" si="62"/>
        <v>635.11548136547992</v>
      </c>
      <c r="V15" s="215"/>
      <c r="W15" s="214"/>
      <c r="X15" s="217">
        <v>-21.12</v>
      </c>
      <c r="Y15" s="218">
        <v>0.33</v>
      </c>
      <c r="Z15" s="219"/>
      <c r="AA15" s="220">
        <v>-11.72</v>
      </c>
      <c r="AB15" s="220">
        <f t="shared" si="69"/>
        <v>559.335664002714</v>
      </c>
      <c r="AC15" s="221">
        <f t="shared" si="70"/>
        <v>86.86</v>
      </c>
      <c r="AD15" s="222"/>
      <c r="AE15" s="222"/>
      <c r="AF15" s="222"/>
      <c r="AG15" s="223">
        <f t="shared" si="63"/>
        <v>20.630000000000003</v>
      </c>
      <c r="AH15" s="224">
        <f t="shared" si="64"/>
        <v>0.88111178738080742</v>
      </c>
      <c r="AI15" s="225"/>
      <c r="AJ15" s="226"/>
      <c r="AK15" s="227"/>
      <c r="AL15" s="228"/>
      <c r="AM15" s="229"/>
      <c r="AN15" s="230"/>
      <c r="AO15" s="206"/>
      <c r="AP15" s="231"/>
      <c r="AQ15" s="203"/>
      <c r="AR15" s="232">
        <v>0</v>
      </c>
      <c r="AS15" s="233">
        <v>0</v>
      </c>
      <c r="AT15" s="234">
        <f t="shared" si="71"/>
        <v>98.579999999999984</v>
      </c>
      <c r="AU15" s="235">
        <f t="shared" si="72"/>
        <v>635.11548136547992</v>
      </c>
      <c r="AV15" s="235">
        <f t="shared" si="73"/>
        <v>635.11548136547992</v>
      </c>
      <c r="AW15" s="236"/>
      <c r="AX15" s="232">
        <v>0</v>
      </c>
      <c r="AY15" s="233">
        <v>0</v>
      </c>
      <c r="AZ15" s="234">
        <f t="shared" si="74"/>
        <v>98.579999999999984</v>
      </c>
      <c r="BA15" s="235">
        <f t="shared" si="75"/>
        <v>635.11548136547992</v>
      </c>
      <c r="BB15" s="235">
        <f t="shared" si="76"/>
        <v>635.11548136547992</v>
      </c>
      <c r="BC15" s="236"/>
      <c r="BD15" s="232">
        <v>0</v>
      </c>
      <c r="BE15" s="233">
        <v>0</v>
      </c>
      <c r="BF15" s="234">
        <f t="shared" si="77"/>
        <v>98.579999999999984</v>
      </c>
      <c r="BG15" s="235">
        <f t="shared" si="78"/>
        <v>635.11548136547992</v>
      </c>
      <c r="BH15" s="235">
        <f t="shared" si="79"/>
        <v>635.11548136547992</v>
      </c>
      <c r="BI15" s="236"/>
      <c r="BJ15" s="232">
        <v>0</v>
      </c>
      <c r="BK15" s="233">
        <v>0</v>
      </c>
      <c r="BL15" s="234">
        <f t="shared" si="80"/>
        <v>98.579999999999984</v>
      </c>
      <c r="BM15" s="235">
        <f t="shared" si="81"/>
        <v>635.11548136547992</v>
      </c>
      <c r="BN15" s="235">
        <f t="shared" si="82"/>
        <v>635.11548136547992</v>
      </c>
      <c r="BO15" s="236"/>
      <c r="BP15" s="239">
        <f t="shared" si="65"/>
        <v>-11.47</v>
      </c>
      <c r="BQ15" s="237"/>
      <c r="BR15" s="238"/>
      <c r="BS15" s="239" t="s">
        <v>114</v>
      </c>
      <c r="BT15" s="239" t="s">
        <v>114</v>
      </c>
      <c r="BU15" s="221" t="s">
        <v>114</v>
      </c>
      <c r="BV15" s="237"/>
      <c r="BW15" s="237"/>
      <c r="BX15" s="238"/>
      <c r="BY15" s="239" t="s">
        <v>114</v>
      </c>
      <c r="BZ15" s="239" t="s">
        <v>114</v>
      </c>
      <c r="CA15" s="221" t="s">
        <v>114</v>
      </c>
    </row>
    <row r="16" spans="2:83" x14ac:dyDescent="0.25">
      <c r="B16" s="164">
        <v>40909</v>
      </c>
      <c r="C16" s="165">
        <v>31</v>
      </c>
      <c r="D16" s="166">
        <v>100.32</v>
      </c>
      <c r="E16" s="167">
        <v>1.0133000000000001</v>
      </c>
      <c r="F16" s="168">
        <v>-4.49</v>
      </c>
      <c r="G16" s="169">
        <v>-1.96</v>
      </c>
      <c r="H16" s="170">
        <f t="shared" si="66"/>
        <v>95.522624485528056</v>
      </c>
      <c r="I16" s="168">
        <f t="shared" si="67"/>
        <v>609.10624033693</v>
      </c>
      <c r="J16" s="168">
        <f t="shared" si="55"/>
        <v>611.06624033693004</v>
      </c>
      <c r="K16" s="171">
        <f t="shared" si="56"/>
        <v>0.95524322169059017</v>
      </c>
      <c r="L16" s="172">
        <f t="shared" si="68"/>
        <v>10.47</v>
      </c>
      <c r="M16" s="168">
        <v>5.98</v>
      </c>
      <c r="N16" s="168">
        <f t="shared" si="57"/>
        <v>103.36425018830877</v>
      </c>
      <c r="O16" s="174">
        <f t="shared" si="58"/>
        <v>659.10887767729992</v>
      </c>
      <c r="P16" s="174">
        <f t="shared" si="59"/>
        <v>677.82887767729994</v>
      </c>
      <c r="Q16" s="175">
        <f t="shared" si="60"/>
        <v>1.0596092503987242</v>
      </c>
      <c r="R16" s="176"/>
      <c r="S16" s="177"/>
      <c r="T16" s="178">
        <f t="shared" si="61"/>
        <v>620.97701795471994</v>
      </c>
      <c r="U16" s="178">
        <f t="shared" si="62"/>
        <v>639.69701795471997</v>
      </c>
      <c r="V16" s="177"/>
      <c r="W16" s="176"/>
      <c r="X16" s="179">
        <v>-18.72</v>
      </c>
      <c r="Y16" s="180">
        <v>0.28999999999999998</v>
      </c>
      <c r="Z16" s="181"/>
      <c r="AA16" s="182">
        <v>-13.85</v>
      </c>
      <c r="AB16" s="182">
        <f t="shared" si="69"/>
        <v>551.11351679033555</v>
      </c>
      <c r="AC16" s="183">
        <f t="shared" si="70"/>
        <v>86.47</v>
      </c>
      <c r="AD16" s="184"/>
      <c r="AE16" s="184"/>
      <c r="AF16" s="184"/>
      <c r="AG16" s="185">
        <f t="shared" si="63"/>
        <v>19.829999999999998</v>
      </c>
      <c r="AH16" s="186">
        <f t="shared" si="64"/>
        <v>0.86194178628389162</v>
      </c>
      <c r="AI16" s="187"/>
      <c r="AJ16" s="188">
        <v>0.90800000000000003</v>
      </c>
      <c r="AK16" s="189">
        <f t="shared" ref="AK16:AK39" si="83">AL16/(6.29287*E16)</f>
        <v>91.090559999999982</v>
      </c>
      <c r="AL16" s="190">
        <f t="shared" ref="AL16:AL39" si="84">(AJ16*D16)*6.29287*E16</f>
        <v>580.84489230288568</v>
      </c>
      <c r="AM16" s="191"/>
      <c r="AN16" s="192"/>
      <c r="AO16" s="168"/>
      <c r="AP16" s="193"/>
      <c r="AQ16" s="165"/>
      <c r="AR16" s="194">
        <v>0</v>
      </c>
      <c r="AS16" s="195">
        <v>0</v>
      </c>
      <c r="AT16" s="196">
        <f t="shared" si="71"/>
        <v>100.32</v>
      </c>
      <c r="AU16" s="197">
        <f t="shared" si="72"/>
        <v>639.69701795471997</v>
      </c>
      <c r="AV16" s="197">
        <f t="shared" si="73"/>
        <v>639.69701795471997</v>
      </c>
      <c r="AW16" s="198"/>
      <c r="AX16" s="194">
        <v>0</v>
      </c>
      <c r="AY16" s="195">
        <v>0</v>
      </c>
      <c r="AZ16" s="196">
        <f t="shared" si="74"/>
        <v>100.32</v>
      </c>
      <c r="BA16" s="197">
        <f t="shared" si="75"/>
        <v>639.69701795471997</v>
      </c>
      <c r="BB16" s="197">
        <f t="shared" si="76"/>
        <v>639.69701795471997</v>
      </c>
      <c r="BC16" s="198"/>
      <c r="BD16" s="194">
        <v>0</v>
      </c>
      <c r="BE16" s="195">
        <v>0</v>
      </c>
      <c r="BF16" s="196">
        <f t="shared" si="77"/>
        <v>100.32</v>
      </c>
      <c r="BG16" s="197">
        <f t="shared" si="78"/>
        <v>639.69701795471997</v>
      </c>
      <c r="BH16" s="197">
        <f t="shared" si="79"/>
        <v>639.69701795471997</v>
      </c>
      <c r="BI16" s="198"/>
      <c r="BJ16" s="194">
        <v>0</v>
      </c>
      <c r="BK16" s="195">
        <v>0</v>
      </c>
      <c r="BL16" s="196">
        <f t="shared" si="80"/>
        <v>100.32</v>
      </c>
      <c r="BM16" s="197">
        <f t="shared" si="81"/>
        <v>639.69701795471997</v>
      </c>
      <c r="BN16" s="197">
        <f t="shared" si="82"/>
        <v>639.69701795471997</v>
      </c>
      <c r="BO16" s="198"/>
      <c r="BP16" s="201">
        <f t="shared" si="65"/>
        <v>-13.6</v>
      </c>
      <c r="BQ16" s="199"/>
      <c r="BR16" s="200"/>
      <c r="BS16" s="201" t="s">
        <v>114</v>
      </c>
      <c r="BT16" s="201" t="s">
        <v>114</v>
      </c>
      <c r="BU16" s="183" t="s">
        <v>114</v>
      </c>
      <c r="BV16" s="199"/>
      <c r="BW16" s="199"/>
      <c r="BX16" s="200"/>
      <c r="BY16" s="201" t="s">
        <v>114</v>
      </c>
      <c r="BZ16" s="201" t="s">
        <v>114</v>
      </c>
      <c r="CA16" s="183" t="s">
        <v>114</v>
      </c>
    </row>
    <row r="17" spans="2:79" x14ac:dyDescent="0.25">
      <c r="B17" s="164">
        <v>40940</v>
      </c>
      <c r="C17" s="165">
        <v>29</v>
      </c>
      <c r="D17" s="166">
        <v>102.26</v>
      </c>
      <c r="E17" s="167">
        <v>0.99650000000000005</v>
      </c>
      <c r="F17" s="168">
        <v>-7.14</v>
      </c>
      <c r="G17" s="169">
        <v>-0.13700000000000001</v>
      </c>
      <c r="H17" s="170">
        <f t="shared" si="66"/>
        <v>95.098152864409343</v>
      </c>
      <c r="I17" s="168">
        <f t="shared" si="67"/>
        <v>596.34577211960016</v>
      </c>
      <c r="J17" s="168">
        <f t="shared" si="55"/>
        <v>596.4827721196001</v>
      </c>
      <c r="K17" s="171">
        <f t="shared" si="56"/>
        <v>0.93017797770389199</v>
      </c>
      <c r="L17" s="172">
        <f t="shared" si="68"/>
        <v>15.399999999999999</v>
      </c>
      <c r="M17" s="168">
        <v>8.26</v>
      </c>
      <c r="N17" s="168">
        <f t="shared" si="57"/>
        <v>108.21090128939412</v>
      </c>
      <c r="O17" s="174">
        <f t="shared" si="58"/>
        <v>678.57378442660013</v>
      </c>
      <c r="P17" s="174">
        <f t="shared" si="59"/>
        <v>693.05378442660015</v>
      </c>
      <c r="Q17" s="175">
        <f t="shared" si="60"/>
        <v>1.080774496381772</v>
      </c>
      <c r="R17" s="176"/>
      <c r="S17" s="177"/>
      <c r="T17" s="178">
        <f t="shared" si="61"/>
        <v>626.77660509830002</v>
      </c>
      <c r="U17" s="178">
        <f t="shared" si="62"/>
        <v>641.25660509830004</v>
      </c>
      <c r="V17" s="177"/>
      <c r="W17" s="176"/>
      <c r="X17" s="179">
        <v>-14.48</v>
      </c>
      <c r="Y17" s="180">
        <v>0.41</v>
      </c>
      <c r="Z17" s="181"/>
      <c r="AA17" s="182">
        <v>-19.22</v>
      </c>
      <c r="AB17" s="182">
        <f t="shared" si="69"/>
        <v>520.47779339628005</v>
      </c>
      <c r="AC17" s="183">
        <f t="shared" si="70"/>
        <v>83.04</v>
      </c>
      <c r="AD17" s="184"/>
      <c r="AE17" s="184"/>
      <c r="AF17" s="184"/>
      <c r="AG17" s="185">
        <f t="shared" si="63"/>
        <v>27.479999999999997</v>
      </c>
      <c r="AH17" s="186">
        <f t="shared" si="64"/>
        <v>0.81204772149423043</v>
      </c>
      <c r="AI17" s="187"/>
      <c r="AJ17" s="188">
        <v>0.88500000000000001</v>
      </c>
      <c r="AK17" s="189">
        <f t="shared" si="83"/>
        <v>90.500100000000003</v>
      </c>
      <c r="AL17" s="190">
        <f t="shared" si="84"/>
        <v>567.51209551199554</v>
      </c>
      <c r="AM17" s="191"/>
      <c r="AN17" s="192"/>
      <c r="AO17" s="168"/>
      <c r="AP17" s="193"/>
      <c r="AQ17" s="165"/>
      <c r="AR17" s="194">
        <v>0</v>
      </c>
      <c r="AS17" s="195">
        <v>0</v>
      </c>
      <c r="AT17" s="196">
        <f t="shared" si="71"/>
        <v>102.26</v>
      </c>
      <c r="AU17" s="197">
        <f t="shared" si="72"/>
        <v>641.25660509830004</v>
      </c>
      <c r="AV17" s="197">
        <f t="shared" si="73"/>
        <v>641.25660509830004</v>
      </c>
      <c r="AW17" s="198"/>
      <c r="AX17" s="194">
        <v>0</v>
      </c>
      <c r="AY17" s="195">
        <v>0</v>
      </c>
      <c r="AZ17" s="196">
        <f t="shared" si="74"/>
        <v>102.26</v>
      </c>
      <c r="BA17" s="197">
        <f t="shared" si="75"/>
        <v>641.25660509830004</v>
      </c>
      <c r="BB17" s="197">
        <f t="shared" si="76"/>
        <v>641.25660509830004</v>
      </c>
      <c r="BC17" s="198"/>
      <c r="BD17" s="194">
        <v>0</v>
      </c>
      <c r="BE17" s="195">
        <v>0</v>
      </c>
      <c r="BF17" s="196">
        <f t="shared" si="77"/>
        <v>102.26</v>
      </c>
      <c r="BG17" s="197">
        <f t="shared" si="78"/>
        <v>641.25660509830004</v>
      </c>
      <c r="BH17" s="197">
        <f t="shared" si="79"/>
        <v>641.25660509830004</v>
      </c>
      <c r="BI17" s="198"/>
      <c r="BJ17" s="194">
        <v>0</v>
      </c>
      <c r="BK17" s="195">
        <v>0</v>
      </c>
      <c r="BL17" s="196">
        <f t="shared" si="80"/>
        <v>102.26</v>
      </c>
      <c r="BM17" s="197">
        <f t="shared" si="81"/>
        <v>641.25660509830004</v>
      </c>
      <c r="BN17" s="197">
        <f t="shared" si="82"/>
        <v>641.25660509830004</v>
      </c>
      <c r="BO17" s="198"/>
      <c r="BP17" s="201">
        <f t="shared" si="65"/>
        <v>-18.97</v>
      </c>
      <c r="BQ17" s="199"/>
      <c r="BR17" s="200"/>
      <c r="BS17" s="201" t="s">
        <v>114</v>
      </c>
      <c r="BT17" s="201" t="s">
        <v>114</v>
      </c>
      <c r="BU17" s="183" t="s">
        <v>114</v>
      </c>
      <c r="BV17" s="199"/>
      <c r="BW17" s="199"/>
      <c r="BX17" s="200"/>
      <c r="BY17" s="201" t="s">
        <v>114</v>
      </c>
      <c r="BZ17" s="201" t="s">
        <v>114</v>
      </c>
      <c r="CA17" s="183" t="s">
        <v>114</v>
      </c>
    </row>
    <row r="18" spans="2:79" x14ac:dyDescent="0.25">
      <c r="B18" s="164">
        <v>40969</v>
      </c>
      <c r="C18" s="165">
        <v>31</v>
      </c>
      <c r="D18" s="166">
        <v>106.21</v>
      </c>
      <c r="E18" s="167">
        <v>0.99390000000000001</v>
      </c>
      <c r="F18" s="168">
        <v>-19.850000000000001</v>
      </c>
      <c r="G18" s="169">
        <v>-0.49199999999999999</v>
      </c>
      <c r="H18" s="170">
        <f t="shared" si="66"/>
        <v>86.281336430010455</v>
      </c>
      <c r="I18" s="168">
        <f t="shared" si="67"/>
        <v>539.6451944554799</v>
      </c>
      <c r="J18" s="168">
        <f t="shared" si="55"/>
        <v>540.13719445547986</v>
      </c>
      <c r="K18" s="171">
        <f t="shared" si="56"/>
        <v>0.81310611053573101</v>
      </c>
      <c r="L18" s="172">
        <f t="shared" si="68"/>
        <v>27</v>
      </c>
      <c r="M18" s="168">
        <v>7.15</v>
      </c>
      <c r="N18" s="168">
        <f t="shared" si="57"/>
        <v>110.56328624744522</v>
      </c>
      <c r="O18" s="174">
        <f t="shared" si="58"/>
        <v>691.51624876647998</v>
      </c>
      <c r="P18" s="174">
        <f t="shared" si="59"/>
        <v>709.00824876647994</v>
      </c>
      <c r="Q18" s="175">
        <f t="shared" si="60"/>
        <v>1.0673194614443084</v>
      </c>
      <c r="R18" s="176"/>
      <c r="S18" s="177"/>
      <c r="T18" s="178">
        <f t="shared" si="61"/>
        <v>646.79669179152995</v>
      </c>
      <c r="U18" s="178">
        <f t="shared" si="62"/>
        <v>664.28869179152991</v>
      </c>
      <c r="V18" s="177"/>
      <c r="W18" s="176"/>
      <c r="X18" s="179">
        <v>-17.492000000000001</v>
      </c>
      <c r="Y18" s="180">
        <v>0.56000000000000005</v>
      </c>
      <c r="Z18" s="181"/>
      <c r="AA18" s="182">
        <v>-31.2</v>
      </c>
      <c r="AB18" s="182">
        <f t="shared" si="69"/>
        <v>468.92071362280944</v>
      </c>
      <c r="AC18" s="183">
        <f t="shared" si="70"/>
        <v>75.009999999999991</v>
      </c>
      <c r="AD18" s="184"/>
      <c r="AE18" s="184"/>
      <c r="AF18" s="184"/>
      <c r="AG18" s="185">
        <f t="shared" si="63"/>
        <v>38.35</v>
      </c>
      <c r="AH18" s="186">
        <f t="shared" si="64"/>
        <v>0.70624235006119951</v>
      </c>
      <c r="AI18" s="187"/>
      <c r="AJ18" s="188">
        <v>0.82699999999999996</v>
      </c>
      <c r="AK18" s="189">
        <f t="shared" si="83"/>
        <v>87.835669999999993</v>
      </c>
      <c r="AL18" s="190">
        <f t="shared" si="84"/>
        <v>549.36674811159526</v>
      </c>
      <c r="AM18" s="191"/>
      <c r="AN18" s="192"/>
      <c r="AO18" s="168"/>
      <c r="AP18" s="193"/>
      <c r="AQ18" s="165"/>
      <c r="AR18" s="194">
        <v>0</v>
      </c>
      <c r="AS18" s="195">
        <v>0</v>
      </c>
      <c r="AT18" s="196">
        <f t="shared" si="71"/>
        <v>106.21</v>
      </c>
      <c r="AU18" s="197">
        <f t="shared" si="72"/>
        <v>664.28869179152991</v>
      </c>
      <c r="AV18" s="197">
        <f t="shared" si="73"/>
        <v>664.28869179152991</v>
      </c>
      <c r="AW18" s="198"/>
      <c r="AX18" s="194">
        <v>0</v>
      </c>
      <c r="AY18" s="195">
        <v>0</v>
      </c>
      <c r="AZ18" s="196">
        <f t="shared" si="74"/>
        <v>106.21</v>
      </c>
      <c r="BA18" s="197">
        <f t="shared" si="75"/>
        <v>664.28869179152991</v>
      </c>
      <c r="BB18" s="197">
        <f t="shared" si="76"/>
        <v>664.28869179152991</v>
      </c>
      <c r="BC18" s="198"/>
      <c r="BD18" s="194">
        <v>0</v>
      </c>
      <c r="BE18" s="195">
        <v>0</v>
      </c>
      <c r="BF18" s="196">
        <f t="shared" si="77"/>
        <v>106.21</v>
      </c>
      <c r="BG18" s="197">
        <f t="shared" si="78"/>
        <v>664.28869179152991</v>
      </c>
      <c r="BH18" s="197">
        <f t="shared" si="79"/>
        <v>664.28869179152991</v>
      </c>
      <c r="BI18" s="198"/>
      <c r="BJ18" s="194">
        <v>0</v>
      </c>
      <c r="BK18" s="195">
        <v>0</v>
      </c>
      <c r="BL18" s="196">
        <f t="shared" si="80"/>
        <v>106.21</v>
      </c>
      <c r="BM18" s="197">
        <f t="shared" si="81"/>
        <v>664.28869179152991</v>
      </c>
      <c r="BN18" s="197">
        <f t="shared" si="82"/>
        <v>664.28869179152991</v>
      </c>
      <c r="BO18" s="198"/>
      <c r="BP18" s="201">
        <f t="shared" si="65"/>
        <v>-30.95</v>
      </c>
      <c r="BQ18" s="199"/>
      <c r="BR18" s="200"/>
      <c r="BS18" s="201" t="s">
        <v>114</v>
      </c>
      <c r="BT18" s="201" t="s">
        <v>114</v>
      </c>
      <c r="BU18" s="183" t="s">
        <v>114</v>
      </c>
      <c r="BV18" s="199"/>
      <c r="BW18" s="199"/>
      <c r="BX18" s="200"/>
      <c r="BY18" s="201" t="s">
        <v>114</v>
      </c>
      <c r="BZ18" s="201" t="s">
        <v>114</v>
      </c>
      <c r="CA18" s="183" t="s">
        <v>114</v>
      </c>
    </row>
    <row r="19" spans="2:79" x14ac:dyDescent="0.25">
      <c r="B19" s="164">
        <v>41000</v>
      </c>
      <c r="C19" s="165">
        <v>30</v>
      </c>
      <c r="D19" s="166">
        <v>103.35</v>
      </c>
      <c r="E19" s="167">
        <v>0.99260000000000004</v>
      </c>
      <c r="F19" s="168">
        <v>-18.53</v>
      </c>
      <c r="G19" s="169">
        <v>-0.378</v>
      </c>
      <c r="H19" s="170">
        <f t="shared" si="66"/>
        <v>84.75948420139035</v>
      </c>
      <c r="I19" s="168">
        <f t="shared" si="67"/>
        <v>529.43340027283989</v>
      </c>
      <c r="J19" s="168">
        <f t="shared" si="55"/>
        <v>529.81140027283993</v>
      </c>
      <c r="K19" s="171">
        <f t="shared" si="56"/>
        <v>0.8207063376874697</v>
      </c>
      <c r="L19" s="172">
        <f t="shared" si="68"/>
        <v>23.19</v>
      </c>
      <c r="M19" s="168">
        <v>4.66</v>
      </c>
      <c r="N19" s="168">
        <f t="shared" si="57"/>
        <v>104.26250313795147</v>
      </c>
      <c r="O19" s="174">
        <f t="shared" si="58"/>
        <v>651.25516132361997</v>
      </c>
      <c r="P19" s="174">
        <f t="shared" si="59"/>
        <v>674.66316132361999</v>
      </c>
      <c r="Q19" s="175">
        <f t="shared" si="60"/>
        <v>1.0450895016932753</v>
      </c>
      <c r="R19" s="176"/>
      <c r="S19" s="177"/>
      <c r="T19" s="178">
        <f t="shared" si="61"/>
        <v>622.14739045269994</v>
      </c>
      <c r="U19" s="178">
        <f t="shared" si="62"/>
        <v>645.55539045269995</v>
      </c>
      <c r="V19" s="177"/>
      <c r="W19" s="176"/>
      <c r="X19" s="179">
        <v>-23.408000000000001</v>
      </c>
      <c r="Y19" s="180">
        <v>0.55000000000000004</v>
      </c>
      <c r="Z19" s="181"/>
      <c r="AA19" s="182">
        <v>-32.94</v>
      </c>
      <c r="AB19" s="182">
        <f t="shared" si="69"/>
        <v>439.58835218094293</v>
      </c>
      <c r="AC19" s="183">
        <f t="shared" si="70"/>
        <v>70.41</v>
      </c>
      <c r="AD19" s="184"/>
      <c r="AE19" s="184"/>
      <c r="AF19" s="184"/>
      <c r="AG19" s="185">
        <f t="shared" si="63"/>
        <v>37.599999999999994</v>
      </c>
      <c r="AH19" s="186">
        <f t="shared" si="64"/>
        <v>0.6812772133526851</v>
      </c>
      <c r="AI19" s="187"/>
      <c r="AJ19" s="188">
        <v>0.84499999999999997</v>
      </c>
      <c r="AK19" s="189">
        <f t="shared" si="83"/>
        <v>87.330749999999995</v>
      </c>
      <c r="AL19" s="190">
        <f t="shared" si="84"/>
        <v>545.49430493253146</v>
      </c>
      <c r="AM19" s="191"/>
      <c r="AN19" s="192"/>
      <c r="AO19" s="168"/>
      <c r="AP19" s="193"/>
      <c r="AQ19" s="165"/>
      <c r="AR19" s="194">
        <v>0</v>
      </c>
      <c r="AS19" s="195">
        <v>0</v>
      </c>
      <c r="AT19" s="196">
        <f t="shared" si="71"/>
        <v>103.35</v>
      </c>
      <c r="AU19" s="197">
        <f t="shared" si="72"/>
        <v>645.55539045269995</v>
      </c>
      <c r="AV19" s="197">
        <f t="shared" si="73"/>
        <v>645.55539045269995</v>
      </c>
      <c r="AW19" s="198"/>
      <c r="AX19" s="194">
        <v>0</v>
      </c>
      <c r="AY19" s="195">
        <v>0</v>
      </c>
      <c r="AZ19" s="196">
        <f t="shared" si="74"/>
        <v>103.35</v>
      </c>
      <c r="BA19" s="197">
        <f t="shared" si="75"/>
        <v>645.55539045269995</v>
      </c>
      <c r="BB19" s="197">
        <f t="shared" si="76"/>
        <v>645.55539045269995</v>
      </c>
      <c r="BC19" s="198"/>
      <c r="BD19" s="194">
        <v>0</v>
      </c>
      <c r="BE19" s="195">
        <v>0</v>
      </c>
      <c r="BF19" s="196">
        <f t="shared" si="77"/>
        <v>103.35</v>
      </c>
      <c r="BG19" s="197">
        <f t="shared" si="78"/>
        <v>645.55539045269995</v>
      </c>
      <c r="BH19" s="197">
        <f t="shared" si="79"/>
        <v>645.55539045269995</v>
      </c>
      <c r="BI19" s="198"/>
      <c r="BJ19" s="194">
        <v>0</v>
      </c>
      <c r="BK19" s="195">
        <v>0</v>
      </c>
      <c r="BL19" s="196">
        <f t="shared" si="80"/>
        <v>103.35</v>
      </c>
      <c r="BM19" s="197">
        <f t="shared" si="81"/>
        <v>645.55539045269995</v>
      </c>
      <c r="BN19" s="197">
        <f t="shared" si="82"/>
        <v>645.55539045269995</v>
      </c>
      <c r="BO19" s="198"/>
      <c r="BP19" s="201">
        <f t="shared" si="65"/>
        <v>-32.69</v>
      </c>
      <c r="BQ19" s="199"/>
      <c r="BR19" s="200"/>
      <c r="BS19" s="201" t="s">
        <v>114</v>
      </c>
      <c r="BT19" s="201" t="s">
        <v>114</v>
      </c>
      <c r="BU19" s="183" t="s">
        <v>114</v>
      </c>
      <c r="BV19" s="199"/>
      <c r="BW19" s="199"/>
      <c r="BX19" s="200"/>
      <c r="BY19" s="201" t="s">
        <v>114</v>
      </c>
      <c r="BZ19" s="201" t="s">
        <v>114</v>
      </c>
      <c r="CA19" s="183" t="s">
        <v>114</v>
      </c>
    </row>
    <row r="20" spans="2:79" x14ac:dyDescent="0.25">
      <c r="B20" s="164">
        <v>41041</v>
      </c>
      <c r="C20" s="165">
        <v>31</v>
      </c>
      <c r="D20" s="166">
        <v>94.72</v>
      </c>
      <c r="E20" s="167">
        <v>1.0098</v>
      </c>
      <c r="F20" s="168">
        <v>-8.11</v>
      </c>
      <c r="G20" s="169">
        <v>-0.41899999999999998</v>
      </c>
      <c r="H20" s="170">
        <f t="shared" si="66"/>
        <v>86.544062891776292</v>
      </c>
      <c r="I20" s="168">
        <f t="shared" si="67"/>
        <v>549.94772031286004</v>
      </c>
      <c r="J20" s="168">
        <f t="shared" si="55"/>
        <v>550.36672031286002</v>
      </c>
      <c r="K20" s="171">
        <f t="shared" si="56"/>
        <v>0.91437922297297303</v>
      </c>
      <c r="L20" s="172">
        <f t="shared" si="68"/>
        <v>15.84</v>
      </c>
      <c r="M20" s="168">
        <v>7.73</v>
      </c>
      <c r="N20" s="168">
        <f t="shared" si="57"/>
        <v>98.583001049209216</v>
      </c>
      <c r="O20" s="174">
        <f t="shared" si="58"/>
        <v>626.44963590870009</v>
      </c>
      <c r="P20" s="174">
        <f t="shared" si="59"/>
        <v>651.02263590870007</v>
      </c>
      <c r="Q20" s="175">
        <f t="shared" si="60"/>
        <v>1.0816089527027029</v>
      </c>
      <c r="R20" s="176"/>
      <c r="S20" s="177"/>
      <c r="T20" s="178">
        <f t="shared" si="61"/>
        <v>577.32904073472002</v>
      </c>
      <c r="U20" s="178">
        <f t="shared" si="62"/>
        <v>601.90204073472</v>
      </c>
      <c r="V20" s="177"/>
      <c r="W20" s="176"/>
      <c r="X20" s="179">
        <v>-24.573</v>
      </c>
      <c r="Y20" s="180">
        <v>0.4</v>
      </c>
      <c r="Z20" s="181"/>
      <c r="AA20" s="182">
        <v>-19.61</v>
      </c>
      <c r="AB20" s="182">
        <f t="shared" si="69"/>
        <v>477.05745778821904</v>
      </c>
      <c r="AC20" s="183">
        <f t="shared" si="70"/>
        <v>75.11</v>
      </c>
      <c r="AD20" s="184"/>
      <c r="AE20" s="184"/>
      <c r="AF20" s="184"/>
      <c r="AG20" s="185">
        <f t="shared" si="63"/>
        <v>27.34</v>
      </c>
      <c r="AH20" s="186">
        <f t="shared" si="64"/>
        <v>0.79296875</v>
      </c>
      <c r="AI20" s="187"/>
      <c r="AJ20" s="188">
        <v>0.81599999999999995</v>
      </c>
      <c r="AK20" s="189">
        <f t="shared" si="83"/>
        <v>77.291519999999991</v>
      </c>
      <c r="AL20" s="190">
        <f t="shared" si="84"/>
        <v>491.15206523953145</v>
      </c>
      <c r="AM20" s="191"/>
      <c r="AN20" s="192"/>
      <c r="AO20" s="168"/>
      <c r="AP20" s="193"/>
      <c r="AQ20" s="165"/>
      <c r="AR20" s="194">
        <v>0</v>
      </c>
      <c r="AS20" s="195">
        <v>0</v>
      </c>
      <c r="AT20" s="196">
        <f t="shared" si="71"/>
        <v>94.72</v>
      </c>
      <c r="AU20" s="197">
        <f t="shared" si="72"/>
        <v>601.90204073472</v>
      </c>
      <c r="AV20" s="197">
        <f t="shared" si="73"/>
        <v>601.90204073472</v>
      </c>
      <c r="AW20" s="198"/>
      <c r="AX20" s="194">
        <v>0</v>
      </c>
      <c r="AY20" s="195">
        <v>0</v>
      </c>
      <c r="AZ20" s="196">
        <f t="shared" si="74"/>
        <v>94.72</v>
      </c>
      <c r="BA20" s="197">
        <f t="shared" si="75"/>
        <v>601.90204073472</v>
      </c>
      <c r="BB20" s="197">
        <f t="shared" si="76"/>
        <v>601.90204073472</v>
      </c>
      <c r="BC20" s="198"/>
      <c r="BD20" s="194">
        <v>0</v>
      </c>
      <c r="BE20" s="195">
        <v>0</v>
      </c>
      <c r="BF20" s="196">
        <f t="shared" si="77"/>
        <v>94.72</v>
      </c>
      <c r="BG20" s="197">
        <f t="shared" si="78"/>
        <v>601.90204073472</v>
      </c>
      <c r="BH20" s="197">
        <f t="shared" si="79"/>
        <v>601.90204073472</v>
      </c>
      <c r="BI20" s="198"/>
      <c r="BJ20" s="194">
        <v>0</v>
      </c>
      <c r="BK20" s="195">
        <v>0</v>
      </c>
      <c r="BL20" s="196">
        <f t="shared" si="80"/>
        <v>94.72</v>
      </c>
      <c r="BM20" s="197">
        <f t="shared" si="81"/>
        <v>601.90204073472</v>
      </c>
      <c r="BN20" s="197">
        <f t="shared" si="82"/>
        <v>601.90204073472</v>
      </c>
      <c r="BO20" s="198"/>
      <c r="BP20" s="201">
        <f t="shared" si="65"/>
        <v>-19.36</v>
      </c>
      <c r="BQ20" s="199"/>
      <c r="BR20" s="200"/>
      <c r="BS20" s="201" t="s">
        <v>114</v>
      </c>
      <c r="BT20" s="201" t="s">
        <v>114</v>
      </c>
      <c r="BU20" s="183" t="s">
        <v>114</v>
      </c>
      <c r="BV20" s="199"/>
      <c r="BW20" s="199"/>
      <c r="BX20" s="200"/>
      <c r="BY20" s="201" t="s">
        <v>114</v>
      </c>
      <c r="BZ20" s="201" t="s">
        <v>114</v>
      </c>
      <c r="CA20" s="183" t="s">
        <v>114</v>
      </c>
    </row>
    <row r="21" spans="2:79" x14ac:dyDescent="0.25">
      <c r="B21" s="164">
        <v>41072</v>
      </c>
      <c r="C21" s="165">
        <v>30</v>
      </c>
      <c r="D21" s="166">
        <v>82.41</v>
      </c>
      <c r="E21" s="167">
        <v>1.0281</v>
      </c>
      <c r="F21" s="168">
        <v>-3.71</v>
      </c>
      <c r="G21" s="169">
        <v>0.14499999999999999</v>
      </c>
      <c r="H21" s="170">
        <f t="shared" si="66"/>
        <v>78.722412168711301</v>
      </c>
      <c r="I21" s="168">
        <f t="shared" si="67"/>
        <v>509.31036221890002</v>
      </c>
      <c r="J21" s="168">
        <f t="shared" si="55"/>
        <v>509.16536221890004</v>
      </c>
      <c r="K21" s="171">
        <f t="shared" si="56"/>
        <v>0.95498119160296091</v>
      </c>
      <c r="L21" s="172">
        <f t="shared" si="68"/>
        <v>9.23</v>
      </c>
      <c r="M21" s="168">
        <v>5.52</v>
      </c>
      <c r="N21" s="168">
        <f t="shared" si="57"/>
        <v>85.140071412145105</v>
      </c>
      <c r="O21" s="174">
        <f t="shared" si="58"/>
        <v>550.83068996070995</v>
      </c>
      <c r="P21" s="174">
        <f t="shared" si="59"/>
        <v>568.8806899607099</v>
      </c>
      <c r="Q21" s="175">
        <f t="shared" si="60"/>
        <v>1.0669821623589371</v>
      </c>
      <c r="R21" s="176"/>
      <c r="S21" s="177"/>
      <c r="T21" s="178">
        <f t="shared" si="61"/>
        <v>515.11794790927001</v>
      </c>
      <c r="U21" s="178">
        <f t="shared" si="62"/>
        <v>533.16794790926997</v>
      </c>
      <c r="V21" s="177"/>
      <c r="W21" s="176"/>
      <c r="X21" s="179">
        <v>-18.05</v>
      </c>
      <c r="Y21" s="180">
        <v>0.31</v>
      </c>
      <c r="Z21" s="181"/>
      <c r="AA21" s="182">
        <v>-16.04</v>
      </c>
      <c r="AB21" s="182">
        <f t="shared" si="69"/>
        <v>429.18520059806855</v>
      </c>
      <c r="AC21" s="183">
        <f t="shared" si="70"/>
        <v>66.37</v>
      </c>
      <c r="AD21" s="184"/>
      <c r="AE21" s="184"/>
      <c r="AF21" s="184"/>
      <c r="AG21" s="185">
        <f t="shared" si="63"/>
        <v>21.56</v>
      </c>
      <c r="AH21" s="186">
        <f t="shared" si="64"/>
        <v>0.80536342676859618</v>
      </c>
      <c r="AI21" s="187"/>
      <c r="AJ21" s="188">
        <v>0.72599999999999998</v>
      </c>
      <c r="AK21" s="189">
        <f t="shared" si="83"/>
        <v>59.82965999999999</v>
      </c>
      <c r="AL21" s="190">
        <f t="shared" si="84"/>
        <v>387.07993018212994</v>
      </c>
      <c r="AM21" s="191"/>
      <c r="AN21" s="192"/>
      <c r="AO21" s="168"/>
      <c r="AP21" s="193"/>
      <c r="AQ21" s="165"/>
      <c r="AR21" s="194">
        <v>0</v>
      </c>
      <c r="AS21" s="195">
        <v>0</v>
      </c>
      <c r="AT21" s="196">
        <f t="shared" si="71"/>
        <v>82.41</v>
      </c>
      <c r="AU21" s="197">
        <f t="shared" si="72"/>
        <v>533.16794790926997</v>
      </c>
      <c r="AV21" s="197">
        <f t="shared" si="73"/>
        <v>533.16794790926997</v>
      </c>
      <c r="AW21" s="198"/>
      <c r="AX21" s="194">
        <v>0</v>
      </c>
      <c r="AY21" s="195">
        <v>0</v>
      </c>
      <c r="AZ21" s="196">
        <f t="shared" si="74"/>
        <v>82.41</v>
      </c>
      <c r="BA21" s="197">
        <f t="shared" si="75"/>
        <v>533.16794790926997</v>
      </c>
      <c r="BB21" s="197">
        <f t="shared" si="76"/>
        <v>533.16794790926997</v>
      </c>
      <c r="BC21" s="198"/>
      <c r="BD21" s="194">
        <v>0</v>
      </c>
      <c r="BE21" s="195">
        <v>0</v>
      </c>
      <c r="BF21" s="196">
        <f t="shared" si="77"/>
        <v>82.41</v>
      </c>
      <c r="BG21" s="197">
        <f t="shared" si="78"/>
        <v>533.16794790926997</v>
      </c>
      <c r="BH21" s="197">
        <f t="shared" si="79"/>
        <v>533.16794790926997</v>
      </c>
      <c r="BI21" s="198"/>
      <c r="BJ21" s="194">
        <v>0</v>
      </c>
      <c r="BK21" s="195">
        <v>0</v>
      </c>
      <c r="BL21" s="196">
        <f t="shared" si="80"/>
        <v>82.41</v>
      </c>
      <c r="BM21" s="197">
        <f t="shared" si="81"/>
        <v>533.16794790926997</v>
      </c>
      <c r="BN21" s="197">
        <f t="shared" si="82"/>
        <v>533.16794790926997</v>
      </c>
      <c r="BO21" s="198"/>
      <c r="BP21" s="201">
        <f t="shared" si="65"/>
        <v>-15.79</v>
      </c>
      <c r="BQ21" s="199"/>
      <c r="BR21" s="200"/>
      <c r="BS21" s="201" t="s">
        <v>114</v>
      </c>
      <c r="BT21" s="201" t="s">
        <v>114</v>
      </c>
      <c r="BU21" s="183" t="s">
        <v>114</v>
      </c>
      <c r="BV21" s="199"/>
      <c r="BW21" s="199"/>
      <c r="BX21" s="200"/>
      <c r="BY21" s="201" t="s">
        <v>114</v>
      </c>
      <c r="BZ21" s="201" t="s">
        <v>114</v>
      </c>
      <c r="CA21" s="183" t="s">
        <v>114</v>
      </c>
    </row>
    <row r="22" spans="2:79" x14ac:dyDescent="0.25">
      <c r="B22" s="164">
        <v>41102</v>
      </c>
      <c r="C22" s="165">
        <v>31</v>
      </c>
      <c r="D22" s="166">
        <v>87.93</v>
      </c>
      <c r="E22" s="167">
        <v>1.0139</v>
      </c>
      <c r="F22" s="168">
        <v>-12.99</v>
      </c>
      <c r="G22" s="169">
        <v>0.48799999999999999</v>
      </c>
      <c r="H22" s="170">
        <f t="shared" si="66"/>
        <v>75.01648494150767</v>
      </c>
      <c r="I22" s="168">
        <f t="shared" si="67"/>
        <v>478.63074652142006</v>
      </c>
      <c r="J22" s="168">
        <f t="shared" si="55"/>
        <v>478.14274652142007</v>
      </c>
      <c r="K22" s="171">
        <f t="shared" si="56"/>
        <v>0.85226885022176735</v>
      </c>
      <c r="L22" s="172">
        <f t="shared" si="68"/>
        <v>15.8</v>
      </c>
      <c r="M22" s="168">
        <v>2.81</v>
      </c>
      <c r="N22" s="168">
        <f t="shared" si="57"/>
        <v>87.66884748188015</v>
      </c>
      <c r="O22" s="174">
        <f t="shared" si="58"/>
        <v>559.35713263081993</v>
      </c>
      <c r="P22" s="174">
        <f t="shared" si="59"/>
        <v>578.95213263081996</v>
      </c>
      <c r="Q22" s="175">
        <f t="shared" si="60"/>
        <v>1.0319572387126124</v>
      </c>
      <c r="R22" s="176"/>
      <c r="S22" s="177"/>
      <c r="T22" s="178">
        <f t="shared" si="61"/>
        <v>541.42837472149006</v>
      </c>
      <c r="U22" s="178">
        <f t="shared" si="62"/>
        <v>561.02337472149009</v>
      </c>
      <c r="V22" s="177"/>
      <c r="W22" s="176"/>
      <c r="X22" s="179">
        <v>-19.594999999999999</v>
      </c>
      <c r="Y22" s="180">
        <v>0.39</v>
      </c>
      <c r="Z22" s="181"/>
      <c r="AA22" s="182">
        <v>-23.65</v>
      </c>
      <c r="AB22" s="182">
        <f t="shared" si="69"/>
        <v>409.92891430326597</v>
      </c>
      <c r="AC22" s="183">
        <f t="shared" si="70"/>
        <v>64.28</v>
      </c>
      <c r="AD22" s="184"/>
      <c r="AE22" s="184"/>
      <c r="AF22" s="184"/>
      <c r="AG22" s="185">
        <f t="shared" si="63"/>
        <v>26.459999999999997</v>
      </c>
      <c r="AH22" s="186">
        <f t="shared" si="64"/>
        <v>0.73103605140452632</v>
      </c>
      <c r="AI22" s="187"/>
      <c r="AJ22" s="188">
        <v>0.71099999999999997</v>
      </c>
      <c r="AK22" s="189">
        <f t="shared" si="83"/>
        <v>62.518230000000003</v>
      </c>
      <c r="AL22" s="190">
        <f t="shared" si="84"/>
        <v>398.88761942697937</v>
      </c>
      <c r="AM22" s="191"/>
      <c r="AN22" s="192"/>
      <c r="AO22" s="168"/>
      <c r="AP22" s="193"/>
      <c r="AQ22" s="165"/>
      <c r="AR22" s="194">
        <v>0</v>
      </c>
      <c r="AS22" s="195">
        <v>0</v>
      </c>
      <c r="AT22" s="196">
        <f t="shared" si="71"/>
        <v>87.930000000000021</v>
      </c>
      <c r="AU22" s="197">
        <f t="shared" si="72"/>
        <v>561.02337472149009</v>
      </c>
      <c r="AV22" s="197">
        <f t="shared" si="73"/>
        <v>561.02337472149009</v>
      </c>
      <c r="AW22" s="198"/>
      <c r="AX22" s="194">
        <v>0</v>
      </c>
      <c r="AY22" s="195">
        <v>0</v>
      </c>
      <c r="AZ22" s="196">
        <f t="shared" si="74"/>
        <v>87.930000000000021</v>
      </c>
      <c r="BA22" s="197">
        <f t="shared" si="75"/>
        <v>561.02337472149009</v>
      </c>
      <c r="BB22" s="197">
        <f t="shared" si="76"/>
        <v>561.02337472149009</v>
      </c>
      <c r="BC22" s="198"/>
      <c r="BD22" s="194">
        <v>0</v>
      </c>
      <c r="BE22" s="195">
        <v>0</v>
      </c>
      <c r="BF22" s="196">
        <f t="shared" si="77"/>
        <v>87.930000000000021</v>
      </c>
      <c r="BG22" s="197">
        <f t="shared" si="78"/>
        <v>561.02337472149009</v>
      </c>
      <c r="BH22" s="197">
        <f t="shared" si="79"/>
        <v>561.02337472149009</v>
      </c>
      <c r="BI22" s="198"/>
      <c r="BJ22" s="194">
        <v>0</v>
      </c>
      <c r="BK22" s="195">
        <v>0</v>
      </c>
      <c r="BL22" s="196">
        <f t="shared" si="80"/>
        <v>87.930000000000021</v>
      </c>
      <c r="BM22" s="197">
        <f t="shared" si="81"/>
        <v>561.02337472149009</v>
      </c>
      <c r="BN22" s="197">
        <f t="shared" si="82"/>
        <v>561.02337472149009</v>
      </c>
      <c r="BO22" s="198"/>
      <c r="BP22" s="201">
        <f t="shared" si="65"/>
        <v>-23.4</v>
      </c>
      <c r="BQ22" s="199"/>
      <c r="BR22" s="200"/>
      <c r="BS22" s="201" t="s">
        <v>114</v>
      </c>
      <c r="BT22" s="201" t="s">
        <v>114</v>
      </c>
      <c r="BU22" s="183" t="s">
        <v>114</v>
      </c>
      <c r="BV22" s="199"/>
      <c r="BW22" s="199"/>
      <c r="BX22" s="200"/>
      <c r="BY22" s="201" t="s">
        <v>114</v>
      </c>
      <c r="BZ22" s="201" t="s">
        <v>114</v>
      </c>
      <c r="CA22" s="183" t="s">
        <v>114</v>
      </c>
    </row>
    <row r="23" spans="2:79" x14ac:dyDescent="0.25">
      <c r="B23" s="164">
        <v>41133</v>
      </c>
      <c r="C23" s="165">
        <v>31</v>
      </c>
      <c r="D23" s="166">
        <v>94.16</v>
      </c>
      <c r="E23" s="167">
        <v>0.99209999999999998</v>
      </c>
      <c r="F23" s="168">
        <v>-6.74</v>
      </c>
      <c r="G23" s="169">
        <v>0.71899999999999997</v>
      </c>
      <c r="H23" s="170">
        <f t="shared" si="66"/>
        <v>87.535166105466658</v>
      </c>
      <c r="I23" s="168">
        <f t="shared" si="67"/>
        <v>546.49572610634004</v>
      </c>
      <c r="J23" s="168">
        <f t="shared" si="55"/>
        <v>545.77672610633999</v>
      </c>
      <c r="K23" s="171">
        <f t="shared" si="56"/>
        <v>0.92841971112999155</v>
      </c>
      <c r="L23" s="172">
        <f t="shared" si="68"/>
        <v>9.83</v>
      </c>
      <c r="M23" s="168">
        <v>3.09</v>
      </c>
      <c r="N23" s="168">
        <f t="shared" si="57"/>
        <v>94.094865166228288</v>
      </c>
      <c r="O23" s="174">
        <f t="shared" si="58"/>
        <v>587.44895280075002</v>
      </c>
      <c r="P23" s="174">
        <f t="shared" si="59"/>
        <v>607.14695280075</v>
      </c>
      <c r="Q23" s="175">
        <f t="shared" si="60"/>
        <v>1.0328164825828379</v>
      </c>
      <c r="R23" s="176"/>
      <c r="S23" s="177"/>
      <c r="T23" s="178">
        <f t="shared" si="61"/>
        <v>568.15759975031995</v>
      </c>
      <c r="U23" s="178">
        <f t="shared" si="62"/>
        <v>587.85559975031993</v>
      </c>
      <c r="V23" s="177"/>
      <c r="W23" s="176"/>
      <c r="X23" s="179">
        <v>-19.698</v>
      </c>
      <c r="Y23" s="180">
        <v>0.39</v>
      </c>
      <c r="Z23" s="181"/>
      <c r="AA23" s="182">
        <v>-25.13</v>
      </c>
      <c r="AB23" s="182">
        <f t="shared" si="69"/>
        <v>430.75555242636148</v>
      </c>
      <c r="AC23" s="183">
        <f t="shared" si="70"/>
        <v>69.03</v>
      </c>
      <c r="AD23" s="184"/>
      <c r="AE23" s="184"/>
      <c r="AF23" s="184"/>
      <c r="AG23" s="185">
        <f t="shared" si="63"/>
        <v>28.22</v>
      </c>
      <c r="AH23" s="186">
        <f t="shared" si="64"/>
        <v>0.73311384876805441</v>
      </c>
      <c r="AI23" s="187"/>
      <c r="AJ23" s="188">
        <v>0.73099999999999998</v>
      </c>
      <c r="AK23" s="189">
        <f t="shared" si="83"/>
        <v>68.83095999999999</v>
      </c>
      <c r="AL23" s="190">
        <f t="shared" si="84"/>
        <v>429.72244341748382</v>
      </c>
      <c r="AM23" s="191"/>
      <c r="AN23" s="192"/>
      <c r="AO23" s="168"/>
      <c r="AP23" s="193"/>
      <c r="AQ23" s="165"/>
      <c r="AR23" s="194">
        <v>0</v>
      </c>
      <c r="AS23" s="195">
        <v>0</v>
      </c>
      <c r="AT23" s="196">
        <f t="shared" si="71"/>
        <v>94.16</v>
      </c>
      <c r="AU23" s="197">
        <f t="shared" si="72"/>
        <v>587.85559975031993</v>
      </c>
      <c r="AV23" s="197">
        <f t="shared" si="73"/>
        <v>587.85559975031993</v>
      </c>
      <c r="AW23" s="198"/>
      <c r="AX23" s="194">
        <v>0</v>
      </c>
      <c r="AY23" s="195">
        <v>0</v>
      </c>
      <c r="AZ23" s="196">
        <f t="shared" si="74"/>
        <v>94.16</v>
      </c>
      <c r="BA23" s="197">
        <f t="shared" si="75"/>
        <v>587.85559975031993</v>
      </c>
      <c r="BB23" s="197">
        <f t="shared" si="76"/>
        <v>587.85559975031993</v>
      </c>
      <c r="BC23" s="198"/>
      <c r="BD23" s="194">
        <v>0</v>
      </c>
      <c r="BE23" s="195">
        <v>0</v>
      </c>
      <c r="BF23" s="196">
        <f t="shared" si="77"/>
        <v>94.16</v>
      </c>
      <c r="BG23" s="197">
        <f t="shared" si="78"/>
        <v>587.85559975031993</v>
      </c>
      <c r="BH23" s="197">
        <f t="shared" si="79"/>
        <v>587.85559975031993</v>
      </c>
      <c r="BI23" s="198"/>
      <c r="BJ23" s="194">
        <v>0</v>
      </c>
      <c r="BK23" s="195">
        <v>0</v>
      </c>
      <c r="BL23" s="196">
        <f t="shared" si="80"/>
        <v>94.16</v>
      </c>
      <c r="BM23" s="197">
        <f t="shared" si="81"/>
        <v>587.85559975031993</v>
      </c>
      <c r="BN23" s="197">
        <f t="shared" si="82"/>
        <v>587.85559975031993</v>
      </c>
      <c r="BO23" s="198"/>
      <c r="BP23" s="201">
        <f t="shared" si="65"/>
        <v>-24.88</v>
      </c>
      <c r="BQ23" s="199"/>
      <c r="BR23" s="200"/>
      <c r="BS23" s="201" t="s">
        <v>114</v>
      </c>
      <c r="BT23" s="201" t="s">
        <v>114</v>
      </c>
      <c r="BU23" s="183" t="s">
        <v>114</v>
      </c>
      <c r="BV23" s="199"/>
      <c r="BW23" s="199"/>
      <c r="BX23" s="200"/>
      <c r="BY23" s="201" t="s">
        <v>114</v>
      </c>
      <c r="BZ23" s="201" t="s">
        <v>114</v>
      </c>
      <c r="CA23" s="183" t="s">
        <v>114</v>
      </c>
    </row>
    <row r="24" spans="2:79" x14ac:dyDescent="0.25">
      <c r="B24" s="164">
        <v>41164</v>
      </c>
      <c r="C24" s="165">
        <v>30</v>
      </c>
      <c r="D24" s="166">
        <v>94.56</v>
      </c>
      <c r="E24" s="167">
        <v>0.97829999999999995</v>
      </c>
      <c r="F24" s="168">
        <v>-1.89</v>
      </c>
      <c r="G24" s="169">
        <v>0.113</v>
      </c>
      <c r="H24" s="170">
        <f t="shared" si="66"/>
        <v>92.688355136980675</v>
      </c>
      <c r="I24" s="168">
        <f t="shared" si="67"/>
        <v>570.61868519507004</v>
      </c>
      <c r="J24" s="168">
        <f t="shared" si="55"/>
        <v>570.50568519506999</v>
      </c>
      <c r="K24" s="171">
        <f t="shared" si="56"/>
        <v>0.9800126903553299</v>
      </c>
      <c r="L24" s="172">
        <f t="shared" si="68"/>
        <v>7.7399999999999993</v>
      </c>
      <c r="M24" s="168">
        <v>5.85</v>
      </c>
      <c r="N24" s="168">
        <f t="shared" si="57"/>
        <v>96.578324546577363</v>
      </c>
      <c r="O24" s="174">
        <f t="shared" si="58"/>
        <v>594.56656113560985</v>
      </c>
      <c r="P24" s="174">
        <f t="shared" si="59"/>
        <v>618.15556113560979</v>
      </c>
      <c r="Q24" s="175">
        <f t="shared" si="60"/>
        <v>1.0618654822335025</v>
      </c>
      <c r="R24" s="176"/>
      <c r="S24" s="177"/>
      <c r="T24" s="178">
        <f t="shared" si="61"/>
        <v>558.55212001775999</v>
      </c>
      <c r="U24" s="178">
        <f t="shared" si="62"/>
        <v>582.14112001775993</v>
      </c>
      <c r="V24" s="177"/>
      <c r="W24" s="176"/>
      <c r="X24" s="179">
        <v>-23.588999999999999</v>
      </c>
      <c r="Y24" s="180">
        <v>0.3</v>
      </c>
      <c r="Z24" s="181"/>
      <c r="AA24" s="182">
        <v>-16.39</v>
      </c>
      <c r="AB24" s="182">
        <f t="shared" si="69"/>
        <v>481.00515042176545</v>
      </c>
      <c r="AC24" s="183">
        <f t="shared" si="70"/>
        <v>78.17</v>
      </c>
      <c r="AD24" s="184"/>
      <c r="AE24" s="184"/>
      <c r="AF24" s="184"/>
      <c r="AG24" s="185">
        <f t="shared" si="63"/>
        <v>22.240000000000002</v>
      </c>
      <c r="AH24" s="186">
        <f t="shared" si="64"/>
        <v>0.82667089678510997</v>
      </c>
      <c r="AI24" s="187"/>
      <c r="AJ24" s="188">
        <v>0.78800000000000003</v>
      </c>
      <c r="AK24" s="189">
        <f t="shared" si="83"/>
        <v>74.513280000000009</v>
      </c>
      <c r="AL24" s="190">
        <f t="shared" si="84"/>
        <v>458.72720257399487</v>
      </c>
      <c r="AM24" s="191"/>
      <c r="AN24" s="192"/>
      <c r="AO24" s="168"/>
      <c r="AP24" s="193"/>
      <c r="AQ24" s="165"/>
      <c r="AR24" s="194">
        <v>0</v>
      </c>
      <c r="AS24" s="195">
        <v>0</v>
      </c>
      <c r="AT24" s="196">
        <f t="shared" si="71"/>
        <v>94.56</v>
      </c>
      <c r="AU24" s="197">
        <f t="shared" si="72"/>
        <v>582.14112001775993</v>
      </c>
      <c r="AV24" s="197">
        <f t="shared" si="73"/>
        <v>582.14112001775993</v>
      </c>
      <c r="AW24" s="198"/>
      <c r="AX24" s="194">
        <v>0</v>
      </c>
      <c r="AY24" s="195">
        <v>0</v>
      </c>
      <c r="AZ24" s="196">
        <f t="shared" si="74"/>
        <v>94.56</v>
      </c>
      <c r="BA24" s="197">
        <f t="shared" si="75"/>
        <v>582.14112001775993</v>
      </c>
      <c r="BB24" s="197">
        <f t="shared" si="76"/>
        <v>582.14112001775993</v>
      </c>
      <c r="BC24" s="198"/>
      <c r="BD24" s="194">
        <v>0</v>
      </c>
      <c r="BE24" s="195">
        <v>0</v>
      </c>
      <c r="BF24" s="196">
        <f t="shared" si="77"/>
        <v>94.56</v>
      </c>
      <c r="BG24" s="197">
        <f t="shared" si="78"/>
        <v>582.14112001775993</v>
      </c>
      <c r="BH24" s="197">
        <f t="shared" si="79"/>
        <v>582.14112001775993</v>
      </c>
      <c r="BI24" s="198"/>
      <c r="BJ24" s="194">
        <v>0</v>
      </c>
      <c r="BK24" s="195">
        <v>0</v>
      </c>
      <c r="BL24" s="196">
        <f t="shared" si="80"/>
        <v>94.56</v>
      </c>
      <c r="BM24" s="197">
        <f t="shared" si="81"/>
        <v>582.14112001775993</v>
      </c>
      <c r="BN24" s="197">
        <f t="shared" si="82"/>
        <v>582.14112001775993</v>
      </c>
      <c r="BO24" s="198"/>
      <c r="BP24" s="201">
        <f t="shared" si="65"/>
        <v>-16.14</v>
      </c>
      <c r="BQ24" s="199"/>
      <c r="BR24" s="200"/>
      <c r="BS24" s="201" t="s">
        <v>114</v>
      </c>
      <c r="BT24" s="201" t="s">
        <v>114</v>
      </c>
      <c r="BU24" s="183" t="s">
        <v>114</v>
      </c>
      <c r="BV24" s="199"/>
      <c r="BW24" s="199"/>
      <c r="BX24" s="200"/>
      <c r="BY24" s="201" t="s">
        <v>114</v>
      </c>
      <c r="BZ24" s="201" t="s">
        <v>114</v>
      </c>
      <c r="CA24" s="183" t="s">
        <v>114</v>
      </c>
    </row>
    <row r="25" spans="2:79" x14ac:dyDescent="0.25">
      <c r="B25" s="164">
        <v>41183</v>
      </c>
      <c r="C25" s="165">
        <v>31</v>
      </c>
      <c r="D25" s="166">
        <v>89.57</v>
      </c>
      <c r="E25" s="167">
        <v>0.98719999999999997</v>
      </c>
      <c r="F25" s="168">
        <v>3.74</v>
      </c>
      <c r="G25" s="169">
        <v>-0.25800000000000001</v>
      </c>
      <c r="H25" s="170">
        <f t="shared" si="66"/>
        <v>93.268469630105059</v>
      </c>
      <c r="I25" s="168">
        <f t="shared" si="67"/>
        <v>579.41369714383984</v>
      </c>
      <c r="J25" s="168">
        <f t="shared" si="55"/>
        <v>579.67169714383988</v>
      </c>
      <c r="K25" s="171">
        <f t="shared" si="56"/>
        <v>1.0417550519147036</v>
      </c>
      <c r="L25" s="172">
        <f t="shared" si="68"/>
        <v>4.6999999999999993</v>
      </c>
      <c r="M25" s="168">
        <v>8.44</v>
      </c>
      <c r="N25" s="168">
        <f t="shared" si="57"/>
        <v>94.966371186150525</v>
      </c>
      <c r="O25" s="174">
        <f t="shared" si="58"/>
        <v>589.96160708463981</v>
      </c>
      <c r="P25" s="174">
        <f t="shared" si="59"/>
        <v>608.86960708463982</v>
      </c>
      <c r="Q25" s="175">
        <f t="shared" si="60"/>
        <v>1.0942279781176734</v>
      </c>
      <c r="R25" s="176"/>
      <c r="S25" s="177"/>
      <c r="T25" s="178">
        <f t="shared" si="61"/>
        <v>537.52961561647987</v>
      </c>
      <c r="U25" s="178">
        <f t="shared" si="62"/>
        <v>556.43761561647989</v>
      </c>
      <c r="V25" s="177"/>
      <c r="W25" s="176"/>
      <c r="X25" s="179">
        <v>-18.908000000000001</v>
      </c>
      <c r="Y25" s="180">
        <v>0.24</v>
      </c>
      <c r="Z25" s="181"/>
      <c r="AA25" s="182">
        <v>-9.69</v>
      </c>
      <c r="AB25" s="182">
        <f t="shared" si="69"/>
        <v>495.99895793692798</v>
      </c>
      <c r="AC25" s="183">
        <f t="shared" si="70"/>
        <v>79.88</v>
      </c>
      <c r="AD25" s="184"/>
      <c r="AE25" s="184"/>
      <c r="AF25" s="184"/>
      <c r="AG25" s="185">
        <f t="shared" si="63"/>
        <v>18.13</v>
      </c>
      <c r="AH25" s="186">
        <f t="shared" si="64"/>
        <v>0.89181645640281348</v>
      </c>
      <c r="AI25" s="187"/>
      <c r="AJ25" s="188">
        <v>0.84799999999999998</v>
      </c>
      <c r="AK25" s="189">
        <f t="shared" si="83"/>
        <v>75.955359999999985</v>
      </c>
      <c r="AL25" s="190">
        <f t="shared" si="84"/>
        <v>471.85909804277497</v>
      </c>
      <c r="AM25" s="191"/>
      <c r="AN25" s="192"/>
      <c r="AO25" s="168"/>
      <c r="AP25" s="193"/>
      <c r="AQ25" s="165"/>
      <c r="AR25" s="194">
        <v>0</v>
      </c>
      <c r="AS25" s="195">
        <v>0</v>
      </c>
      <c r="AT25" s="196">
        <f t="shared" si="71"/>
        <v>89.569999999999979</v>
      </c>
      <c r="AU25" s="197">
        <f t="shared" si="72"/>
        <v>556.43761561647989</v>
      </c>
      <c r="AV25" s="197">
        <f t="shared" si="73"/>
        <v>556.43761561647989</v>
      </c>
      <c r="AW25" s="198"/>
      <c r="AX25" s="194">
        <v>0</v>
      </c>
      <c r="AY25" s="195">
        <v>0</v>
      </c>
      <c r="AZ25" s="196">
        <f t="shared" si="74"/>
        <v>89.569999999999979</v>
      </c>
      <c r="BA25" s="197">
        <f t="shared" si="75"/>
        <v>556.43761561647989</v>
      </c>
      <c r="BB25" s="197">
        <f t="shared" si="76"/>
        <v>556.43761561647989</v>
      </c>
      <c r="BC25" s="198"/>
      <c r="BD25" s="194">
        <v>0</v>
      </c>
      <c r="BE25" s="195">
        <v>0</v>
      </c>
      <c r="BF25" s="196">
        <f t="shared" si="77"/>
        <v>89.569999999999979</v>
      </c>
      <c r="BG25" s="197">
        <f t="shared" si="78"/>
        <v>556.43761561647989</v>
      </c>
      <c r="BH25" s="197">
        <f t="shared" si="79"/>
        <v>556.43761561647989</v>
      </c>
      <c r="BI25" s="198"/>
      <c r="BJ25" s="194">
        <v>0</v>
      </c>
      <c r="BK25" s="195">
        <v>0</v>
      </c>
      <c r="BL25" s="196">
        <f t="shared" si="80"/>
        <v>89.569999999999979</v>
      </c>
      <c r="BM25" s="197">
        <f t="shared" si="81"/>
        <v>556.43761561647989</v>
      </c>
      <c r="BN25" s="197">
        <f t="shared" si="82"/>
        <v>556.43761561647989</v>
      </c>
      <c r="BO25" s="198"/>
      <c r="BP25" s="201">
        <f t="shared" si="65"/>
        <v>-9.44</v>
      </c>
      <c r="BQ25" s="199"/>
      <c r="BR25" s="200"/>
      <c r="BS25" s="201" t="s">
        <v>114</v>
      </c>
      <c r="BT25" s="201" t="s">
        <v>114</v>
      </c>
      <c r="BU25" s="183" t="s">
        <v>114</v>
      </c>
      <c r="BV25" s="199"/>
      <c r="BW25" s="199"/>
      <c r="BX25" s="200"/>
      <c r="BY25" s="201" t="s">
        <v>114</v>
      </c>
      <c r="BZ25" s="201" t="s">
        <v>114</v>
      </c>
      <c r="CA25" s="183" t="s">
        <v>114</v>
      </c>
    </row>
    <row r="26" spans="2:79" x14ac:dyDescent="0.25">
      <c r="B26" s="164">
        <v>41214</v>
      </c>
      <c r="C26" s="165">
        <v>30</v>
      </c>
      <c r="D26" s="166">
        <v>86.73</v>
      </c>
      <c r="E26" s="167">
        <v>0.997</v>
      </c>
      <c r="F26" s="168">
        <v>-0.56000000000000005</v>
      </c>
      <c r="G26" s="169">
        <v>-0.02</v>
      </c>
      <c r="H26" s="170">
        <f t="shared" si="66"/>
        <v>86.166812236619919</v>
      </c>
      <c r="I26" s="168">
        <f t="shared" si="67"/>
        <v>540.60983807629998</v>
      </c>
      <c r="J26" s="168">
        <f t="shared" si="55"/>
        <v>540.62983807629996</v>
      </c>
      <c r="K26" s="171">
        <f t="shared" si="56"/>
        <v>0.99354317998385788</v>
      </c>
      <c r="L26" s="172">
        <f t="shared" si="68"/>
        <v>8.620000000000001</v>
      </c>
      <c r="M26" s="168">
        <v>8.06</v>
      </c>
      <c r="N26" s="168">
        <f t="shared" si="57"/>
        <v>92.127261248616421</v>
      </c>
      <c r="O26" s="174">
        <f t="shared" si="58"/>
        <v>578.00564385810003</v>
      </c>
      <c r="P26" s="174">
        <f t="shared" si="59"/>
        <v>594.71164385810005</v>
      </c>
      <c r="Q26" s="175">
        <f t="shared" si="60"/>
        <v>1.0929320880894731</v>
      </c>
      <c r="R26" s="176"/>
      <c r="S26" s="177"/>
      <c r="T26" s="178">
        <f t="shared" si="61"/>
        <v>527.43727325470002</v>
      </c>
      <c r="U26" s="178">
        <f t="shared" si="62"/>
        <v>544.14327325470003</v>
      </c>
      <c r="V26" s="177"/>
      <c r="W26" s="176"/>
      <c r="X26" s="179">
        <v>-16.706</v>
      </c>
      <c r="Y26" s="180">
        <v>0.33</v>
      </c>
      <c r="Z26" s="181"/>
      <c r="AA26" s="182">
        <v>-14.27</v>
      </c>
      <c r="AB26" s="182">
        <f t="shared" si="69"/>
        <v>454.39238982350997</v>
      </c>
      <c r="AC26" s="183">
        <f t="shared" si="70"/>
        <v>72.460000000000008</v>
      </c>
      <c r="AD26" s="184"/>
      <c r="AE26" s="184"/>
      <c r="AF26" s="184"/>
      <c r="AG26" s="185">
        <f t="shared" si="63"/>
        <v>22.33</v>
      </c>
      <c r="AH26" s="186">
        <f t="shared" si="64"/>
        <v>0.83546638994580891</v>
      </c>
      <c r="AI26" s="187"/>
      <c r="AJ26" s="188">
        <v>0.91600000000000004</v>
      </c>
      <c r="AK26" s="189">
        <f t="shared" si="83"/>
        <v>79.444680000000005</v>
      </c>
      <c r="AL26" s="190">
        <f t="shared" si="84"/>
        <v>498.43523830130522</v>
      </c>
      <c r="AM26" s="191"/>
      <c r="AN26" s="192"/>
      <c r="AO26" s="168"/>
      <c r="AP26" s="193"/>
      <c r="AQ26" s="165"/>
      <c r="AR26" s="194">
        <v>0</v>
      </c>
      <c r="AS26" s="195">
        <v>0</v>
      </c>
      <c r="AT26" s="196">
        <f t="shared" si="71"/>
        <v>86.72999999999999</v>
      </c>
      <c r="AU26" s="197">
        <f t="shared" si="72"/>
        <v>544.14327325469992</v>
      </c>
      <c r="AV26" s="197">
        <f t="shared" si="73"/>
        <v>544.14327325469992</v>
      </c>
      <c r="AW26" s="198"/>
      <c r="AX26" s="194">
        <v>0</v>
      </c>
      <c r="AY26" s="195">
        <v>0</v>
      </c>
      <c r="AZ26" s="196">
        <f t="shared" si="74"/>
        <v>86.72999999999999</v>
      </c>
      <c r="BA26" s="197">
        <f t="shared" si="75"/>
        <v>544.14327325469992</v>
      </c>
      <c r="BB26" s="197">
        <f t="shared" si="76"/>
        <v>544.14327325469992</v>
      </c>
      <c r="BC26" s="198"/>
      <c r="BD26" s="194">
        <v>0</v>
      </c>
      <c r="BE26" s="195">
        <v>0</v>
      </c>
      <c r="BF26" s="196">
        <f t="shared" si="77"/>
        <v>86.72999999999999</v>
      </c>
      <c r="BG26" s="197">
        <f t="shared" si="78"/>
        <v>544.14327325469992</v>
      </c>
      <c r="BH26" s="197">
        <f t="shared" si="79"/>
        <v>544.14327325469992</v>
      </c>
      <c r="BI26" s="198"/>
      <c r="BJ26" s="194">
        <v>0</v>
      </c>
      <c r="BK26" s="195">
        <v>0</v>
      </c>
      <c r="BL26" s="196">
        <f t="shared" si="80"/>
        <v>86.72999999999999</v>
      </c>
      <c r="BM26" s="197">
        <f t="shared" si="81"/>
        <v>544.14327325469992</v>
      </c>
      <c r="BN26" s="197">
        <f t="shared" si="82"/>
        <v>544.14327325469992</v>
      </c>
      <c r="BO26" s="198"/>
      <c r="BP26" s="201">
        <f t="shared" si="65"/>
        <v>-14.02</v>
      </c>
      <c r="BQ26" s="199"/>
      <c r="BR26" s="200"/>
      <c r="BS26" s="201" t="s">
        <v>114</v>
      </c>
      <c r="BT26" s="201" t="s">
        <v>114</v>
      </c>
      <c r="BU26" s="183" t="s">
        <v>114</v>
      </c>
      <c r="BV26" s="199"/>
      <c r="BW26" s="199"/>
      <c r="BX26" s="200"/>
      <c r="BY26" s="201" t="s">
        <v>114</v>
      </c>
      <c r="BZ26" s="201" t="s">
        <v>114</v>
      </c>
      <c r="CA26" s="183" t="s">
        <v>114</v>
      </c>
    </row>
    <row r="27" spans="2:79" x14ac:dyDescent="0.25">
      <c r="B27" s="202">
        <v>41244</v>
      </c>
      <c r="C27" s="203">
        <v>31</v>
      </c>
      <c r="D27" s="204">
        <v>88.25</v>
      </c>
      <c r="E27" s="205">
        <v>0.98960000000000004</v>
      </c>
      <c r="F27" s="206">
        <v>-13.15</v>
      </c>
      <c r="G27" s="207">
        <v>0.38600000000000001</v>
      </c>
      <c r="H27" s="208">
        <f t="shared" si="66"/>
        <v>75.161983894235945</v>
      </c>
      <c r="I27" s="206">
        <f t="shared" si="67"/>
        <v>468.06555381519996</v>
      </c>
      <c r="J27" s="206">
        <f t="shared" si="55"/>
        <v>467.67955381519994</v>
      </c>
      <c r="K27" s="209">
        <f t="shared" si="56"/>
        <v>0.85099150141643054</v>
      </c>
      <c r="L27" s="210">
        <f t="shared" si="68"/>
        <v>26.37</v>
      </c>
      <c r="M27" s="206">
        <v>13.22</v>
      </c>
      <c r="N27" s="206">
        <f t="shared" si="57"/>
        <v>99.355963814465412</v>
      </c>
      <c r="O27" s="212">
        <f t="shared" si="58"/>
        <v>618.73172870344001</v>
      </c>
      <c r="P27" s="212">
        <f t="shared" si="59"/>
        <v>631.89672870343998</v>
      </c>
      <c r="Q27" s="213">
        <f t="shared" si="60"/>
        <v>1.149801699716714</v>
      </c>
      <c r="R27" s="214"/>
      <c r="S27" s="215"/>
      <c r="T27" s="216">
        <f t="shared" si="61"/>
        <v>536.40518141400003</v>
      </c>
      <c r="U27" s="216">
        <f t="shared" si="62"/>
        <v>549.57018141399999</v>
      </c>
      <c r="V27" s="215"/>
      <c r="W27" s="214"/>
      <c r="X27" s="217">
        <v>-13.164999999999999</v>
      </c>
      <c r="Y27" s="218">
        <v>0.66</v>
      </c>
      <c r="Z27" s="219"/>
      <c r="AA27" s="220">
        <v>-30.37</v>
      </c>
      <c r="AB27" s="220">
        <f t="shared" si="69"/>
        <v>360.26806772990398</v>
      </c>
      <c r="AC27" s="221">
        <f t="shared" si="70"/>
        <v>57.879999999999995</v>
      </c>
      <c r="AD27" s="222"/>
      <c r="AE27" s="222"/>
      <c r="AF27" s="222"/>
      <c r="AG27" s="223">
        <f t="shared" si="63"/>
        <v>43.59</v>
      </c>
      <c r="AH27" s="224">
        <f t="shared" si="64"/>
        <v>0.65586402266288946</v>
      </c>
      <c r="AI27" s="225"/>
      <c r="AJ27" s="226">
        <v>0.93200000000000005</v>
      </c>
      <c r="AK27" s="189">
        <f t="shared" si="83"/>
        <v>82.248999999999995</v>
      </c>
      <c r="AL27" s="228">
        <f t="shared" si="84"/>
        <v>512.19940907784803</v>
      </c>
      <c r="AM27" s="229"/>
      <c r="AN27" s="230"/>
      <c r="AO27" s="206"/>
      <c r="AP27" s="231"/>
      <c r="AQ27" s="203"/>
      <c r="AR27" s="232">
        <v>0</v>
      </c>
      <c r="AS27" s="233">
        <v>0</v>
      </c>
      <c r="AT27" s="234">
        <f t="shared" si="71"/>
        <v>88.25</v>
      </c>
      <c r="AU27" s="235">
        <f t="shared" si="72"/>
        <v>549.57018141399999</v>
      </c>
      <c r="AV27" s="235">
        <f t="shared" si="73"/>
        <v>549.57018141399999</v>
      </c>
      <c r="AW27" s="236"/>
      <c r="AX27" s="232">
        <v>0</v>
      </c>
      <c r="AY27" s="233">
        <v>0</v>
      </c>
      <c r="AZ27" s="234">
        <f t="shared" si="74"/>
        <v>88.25</v>
      </c>
      <c r="BA27" s="235">
        <f t="shared" si="75"/>
        <v>549.57018141399999</v>
      </c>
      <c r="BB27" s="235">
        <f t="shared" si="76"/>
        <v>549.57018141399999</v>
      </c>
      <c r="BC27" s="236"/>
      <c r="BD27" s="232">
        <v>0</v>
      </c>
      <c r="BE27" s="233">
        <v>0</v>
      </c>
      <c r="BF27" s="234">
        <f t="shared" si="77"/>
        <v>88.25</v>
      </c>
      <c r="BG27" s="235">
        <f t="shared" si="78"/>
        <v>549.57018141399999</v>
      </c>
      <c r="BH27" s="235">
        <f t="shared" si="79"/>
        <v>549.57018141399999</v>
      </c>
      <c r="BI27" s="236"/>
      <c r="BJ27" s="232">
        <v>0</v>
      </c>
      <c r="BK27" s="233">
        <v>0</v>
      </c>
      <c r="BL27" s="234">
        <f t="shared" si="80"/>
        <v>88.25</v>
      </c>
      <c r="BM27" s="235">
        <f t="shared" si="81"/>
        <v>549.57018141399999</v>
      </c>
      <c r="BN27" s="235">
        <f t="shared" si="82"/>
        <v>549.57018141399999</v>
      </c>
      <c r="BO27" s="236"/>
      <c r="BP27" s="239">
        <f t="shared" si="65"/>
        <v>-30.12</v>
      </c>
      <c r="BQ27" s="237"/>
      <c r="BR27" s="238"/>
      <c r="BS27" s="239" t="s">
        <v>114</v>
      </c>
      <c r="BT27" s="239" t="s">
        <v>114</v>
      </c>
      <c r="BU27" s="221" t="s">
        <v>114</v>
      </c>
      <c r="BV27" s="237"/>
      <c r="BW27" s="237"/>
      <c r="BX27" s="238"/>
      <c r="BY27" s="239" t="s">
        <v>114</v>
      </c>
      <c r="BZ27" s="239" t="s">
        <v>114</v>
      </c>
      <c r="CA27" s="221" t="s">
        <v>114</v>
      </c>
    </row>
    <row r="28" spans="2:79" x14ac:dyDescent="0.25">
      <c r="B28" s="164">
        <v>41275</v>
      </c>
      <c r="C28" s="165">
        <v>31</v>
      </c>
      <c r="D28" s="172">
        <v>94.83</v>
      </c>
      <c r="E28" s="167">
        <v>0.99209999999999998</v>
      </c>
      <c r="F28" s="168">
        <v>-6.63</v>
      </c>
      <c r="G28" s="169">
        <v>-6.1260000000000004E-3</v>
      </c>
      <c r="H28" s="170">
        <f t="shared" si="66"/>
        <v>88.199018765560382</v>
      </c>
      <c r="I28" s="168">
        <f t="shared" si="67"/>
        <v>550.64026204139998</v>
      </c>
      <c r="J28" s="168">
        <f t="shared" si="55"/>
        <v>550.64638804139997</v>
      </c>
      <c r="K28" s="171">
        <f t="shared" si="56"/>
        <v>0.93008541600759254</v>
      </c>
      <c r="L28" s="172">
        <f t="shared" si="68"/>
        <v>20.98</v>
      </c>
      <c r="M28" s="168">
        <v>14.35</v>
      </c>
      <c r="N28" s="168">
        <f t="shared" si="57"/>
        <v>105.59495265732755</v>
      </c>
      <c r="O28" s="174">
        <f t="shared" si="58"/>
        <v>659.24579678185989</v>
      </c>
      <c r="P28" s="174">
        <f t="shared" si="59"/>
        <v>681.62780778185993</v>
      </c>
      <c r="Q28" s="175">
        <f t="shared" si="60"/>
        <v>1.151323420858378</v>
      </c>
      <c r="R28" s="176"/>
      <c r="S28" s="177"/>
      <c r="T28" s="178">
        <f t="shared" si="61"/>
        <v>569.65650348940994</v>
      </c>
      <c r="U28" s="178">
        <f t="shared" si="62"/>
        <v>592.03851448940998</v>
      </c>
      <c r="V28" s="177"/>
      <c r="W28" s="176"/>
      <c r="X28" s="179">
        <v>-22.382010999999999</v>
      </c>
      <c r="Y28" s="180">
        <v>0.72</v>
      </c>
      <c r="Z28" s="181"/>
      <c r="AA28" s="182">
        <v>-32.72</v>
      </c>
      <c r="AB28" s="182">
        <f t="shared" si="69"/>
        <v>387.57391512677543</v>
      </c>
      <c r="AC28" s="183">
        <f t="shared" si="70"/>
        <v>62.11</v>
      </c>
      <c r="AD28" s="184"/>
      <c r="AE28" s="184"/>
      <c r="AF28" s="184"/>
      <c r="AG28" s="185">
        <f t="shared" si="63"/>
        <v>47.07</v>
      </c>
      <c r="AH28" s="186">
        <f t="shared" si="64"/>
        <v>0.65496151007065273</v>
      </c>
      <c r="AI28" s="187"/>
      <c r="AJ28" s="240">
        <v>0.84899999999999998</v>
      </c>
      <c r="AK28" s="127">
        <f t="shared" si="83"/>
        <v>80.51066999999999</v>
      </c>
      <c r="AL28" s="190">
        <f t="shared" si="84"/>
        <v>502.64069880150902</v>
      </c>
      <c r="AM28" s="191"/>
      <c r="AN28" s="192"/>
      <c r="AO28" s="168"/>
      <c r="AP28" s="193"/>
      <c r="AQ28" s="165"/>
      <c r="AR28" s="194">
        <v>0</v>
      </c>
      <c r="AS28" s="195">
        <v>0</v>
      </c>
      <c r="AT28" s="196">
        <f t="shared" si="71"/>
        <v>94.83</v>
      </c>
      <c r="AU28" s="197">
        <f t="shared" si="72"/>
        <v>592.03851448940998</v>
      </c>
      <c r="AV28" s="197">
        <f t="shared" si="73"/>
        <v>592.03851448940998</v>
      </c>
      <c r="AW28" s="198"/>
      <c r="AX28" s="194">
        <v>0</v>
      </c>
      <c r="AY28" s="195">
        <v>0</v>
      </c>
      <c r="AZ28" s="196">
        <f t="shared" si="74"/>
        <v>94.83</v>
      </c>
      <c r="BA28" s="197">
        <f t="shared" si="75"/>
        <v>592.03851448940998</v>
      </c>
      <c r="BB28" s="197">
        <f t="shared" si="76"/>
        <v>592.03851448940998</v>
      </c>
      <c r="BC28" s="198"/>
      <c r="BD28" s="194">
        <v>0</v>
      </c>
      <c r="BE28" s="195">
        <v>0</v>
      </c>
      <c r="BF28" s="196">
        <f t="shared" si="77"/>
        <v>94.83</v>
      </c>
      <c r="BG28" s="197">
        <f t="shared" si="78"/>
        <v>592.03851448940998</v>
      </c>
      <c r="BH28" s="197">
        <f t="shared" si="79"/>
        <v>592.03851448940998</v>
      </c>
      <c r="BI28" s="198"/>
      <c r="BJ28" s="194">
        <v>0</v>
      </c>
      <c r="BK28" s="195">
        <v>0</v>
      </c>
      <c r="BL28" s="196">
        <f t="shared" si="80"/>
        <v>94.83</v>
      </c>
      <c r="BM28" s="197">
        <f t="shared" si="81"/>
        <v>592.03851448940998</v>
      </c>
      <c r="BN28" s="197">
        <f t="shared" si="82"/>
        <v>592.03851448940998</v>
      </c>
      <c r="BO28" s="198"/>
      <c r="BP28" s="201">
        <f t="shared" si="65"/>
        <v>-32.47</v>
      </c>
      <c r="BQ28" s="199"/>
      <c r="BR28" s="200"/>
      <c r="BS28" s="201" t="s">
        <v>114</v>
      </c>
      <c r="BT28" s="201" t="s">
        <v>114</v>
      </c>
      <c r="BU28" s="183" t="s">
        <v>114</v>
      </c>
      <c r="BV28" s="199"/>
      <c r="BW28" s="199"/>
      <c r="BX28" s="200"/>
      <c r="BY28" s="201" t="s">
        <v>114</v>
      </c>
      <c r="BZ28" s="201" t="s">
        <v>114</v>
      </c>
      <c r="CA28" s="183" t="s">
        <v>114</v>
      </c>
    </row>
    <row r="29" spans="2:79" x14ac:dyDescent="0.25">
      <c r="B29" s="164">
        <v>41306</v>
      </c>
      <c r="C29" s="165">
        <v>28</v>
      </c>
      <c r="D29" s="172">
        <v>95.32</v>
      </c>
      <c r="E29" s="167">
        <v>1.0098</v>
      </c>
      <c r="F29" s="168">
        <v>-8.14</v>
      </c>
      <c r="G29" s="169">
        <v>1.572362</v>
      </c>
      <c r="H29" s="170">
        <f t="shared" si="66"/>
        <v>87.42743914883259</v>
      </c>
      <c r="I29" s="168">
        <f t="shared" si="67"/>
        <v>555.56117018468001</v>
      </c>
      <c r="J29" s="168">
        <f t="shared" si="55"/>
        <v>553.98880818468001</v>
      </c>
      <c r="K29" s="171">
        <f t="shared" si="56"/>
        <v>0.91460344104070501</v>
      </c>
      <c r="L29" s="172">
        <f t="shared" si="68"/>
        <v>22.020000000000003</v>
      </c>
      <c r="M29" s="168">
        <v>13.88</v>
      </c>
      <c r="N29" s="168">
        <f t="shared" si="57"/>
        <v>105.04223036189542</v>
      </c>
      <c r="O29" s="174">
        <f t="shared" si="58"/>
        <v>667.49506775919997</v>
      </c>
      <c r="P29" s="174">
        <f t="shared" si="59"/>
        <v>693.91578175919994</v>
      </c>
      <c r="Q29" s="175">
        <f t="shared" si="60"/>
        <v>1.1456147712966849</v>
      </c>
      <c r="R29" s="176"/>
      <c r="S29" s="177"/>
      <c r="T29" s="178">
        <f t="shared" si="61"/>
        <v>579.29405081032007</v>
      </c>
      <c r="U29" s="178">
        <f t="shared" si="62"/>
        <v>605.71476481032005</v>
      </c>
      <c r="V29" s="177"/>
      <c r="W29" s="176"/>
      <c r="X29" s="179">
        <v>-26.420714</v>
      </c>
      <c r="Y29" s="180">
        <v>0.78</v>
      </c>
      <c r="Z29" s="181"/>
      <c r="AA29" s="182">
        <v>-36.92</v>
      </c>
      <c r="AB29" s="182">
        <f t="shared" si="69"/>
        <v>370.92471754535995</v>
      </c>
      <c r="AC29" s="183">
        <f t="shared" si="70"/>
        <v>58.399999999999991</v>
      </c>
      <c r="AD29" s="184"/>
      <c r="AE29" s="184"/>
      <c r="AF29" s="184"/>
      <c r="AG29" s="185">
        <f t="shared" si="63"/>
        <v>50.800000000000004</v>
      </c>
      <c r="AH29" s="186">
        <f t="shared" si="64"/>
        <v>0.61267310113302553</v>
      </c>
      <c r="AI29" s="187"/>
      <c r="AJ29" s="240">
        <v>0.79500000000000004</v>
      </c>
      <c r="AK29" s="166">
        <f t="shared" si="83"/>
        <v>75.77940000000001</v>
      </c>
      <c r="AL29" s="190">
        <f t="shared" si="84"/>
        <v>481.54323802420441</v>
      </c>
      <c r="AM29" s="191"/>
      <c r="AN29" s="192"/>
      <c r="AO29" s="168"/>
      <c r="AP29" s="193"/>
      <c r="AQ29" s="165"/>
      <c r="AR29" s="194">
        <v>0</v>
      </c>
      <c r="AS29" s="195">
        <v>0</v>
      </c>
      <c r="AT29" s="196">
        <f t="shared" si="71"/>
        <v>95.32</v>
      </c>
      <c r="AU29" s="197">
        <f t="shared" si="72"/>
        <v>605.71476481031993</v>
      </c>
      <c r="AV29" s="197">
        <f t="shared" si="73"/>
        <v>605.71476481031993</v>
      </c>
      <c r="AW29" s="198"/>
      <c r="AX29" s="194">
        <v>0</v>
      </c>
      <c r="AY29" s="195">
        <v>0</v>
      </c>
      <c r="AZ29" s="196">
        <f t="shared" si="74"/>
        <v>95.32</v>
      </c>
      <c r="BA29" s="197">
        <f t="shared" si="75"/>
        <v>605.71476481031993</v>
      </c>
      <c r="BB29" s="197">
        <f t="shared" si="76"/>
        <v>605.71476481031993</v>
      </c>
      <c r="BC29" s="198"/>
      <c r="BD29" s="194">
        <v>0</v>
      </c>
      <c r="BE29" s="195">
        <v>0</v>
      </c>
      <c r="BF29" s="196">
        <f t="shared" si="77"/>
        <v>95.32</v>
      </c>
      <c r="BG29" s="197">
        <f t="shared" si="78"/>
        <v>605.71476481031993</v>
      </c>
      <c r="BH29" s="197">
        <f t="shared" si="79"/>
        <v>605.71476481031993</v>
      </c>
      <c r="BI29" s="198"/>
      <c r="BJ29" s="194">
        <v>0</v>
      </c>
      <c r="BK29" s="195">
        <v>0</v>
      </c>
      <c r="BL29" s="196">
        <f t="shared" si="80"/>
        <v>95.32</v>
      </c>
      <c r="BM29" s="197">
        <f t="shared" si="81"/>
        <v>605.71476481031993</v>
      </c>
      <c r="BN29" s="197">
        <f t="shared" si="82"/>
        <v>605.71476481031993</v>
      </c>
      <c r="BO29" s="198"/>
      <c r="BP29" s="201">
        <f t="shared" si="65"/>
        <v>-36.67</v>
      </c>
      <c r="BQ29" s="199"/>
      <c r="BR29" s="200"/>
      <c r="BS29" s="201" t="s">
        <v>114</v>
      </c>
      <c r="BT29" s="201" t="s">
        <v>114</v>
      </c>
      <c r="BU29" s="183" t="s">
        <v>114</v>
      </c>
      <c r="BV29" s="199"/>
      <c r="BW29" s="199"/>
      <c r="BX29" s="200"/>
      <c r="BY29" s="201" t="s">
        <v>114</v>
      </c>
      <c r="BZ29" s="201" t="s">
        <v>114</v>
      </c>
      <c r="CA29" s="183" t="s">
        <v>114</v>
      </c>
    </row>
    <row r="30" spans="2:79" x14ac:dyDescent="0.25">
      <c r="B30" s="164">
        <v>41334</v>
      </c>
      <c r="C30" s="165">
        <v>31</v>
      </c>
      <c r="D30" s="172">
        <v>92.96</v>
      </c>
      <c r="E30" s="167">
        <v>1.0246999999999999</v>
      </c>
      <c r="F30" s="168">
        <v>-6.08</v>
      </c>
      <c r="G30" s="169">
        <v>1.0214650000000001</v>
      </c>
      <c r="H30" s="170">
        <f t="shared" si="66"/>
        <v>87.038408322185703</v>
      </c>
      <c r="I30" s="168">
        <f t="shared" si="67"/>
        <v>561.25010687631993</v>
      </c>
      <c r="J30" s="168">
        <f t="shared" si="55"/>
        <v>560.2286418763199</v>
      </c>
      <c r="K30" s="171">
        <f t="shared" si="56"/>
        <v>0.93459552495697074</v>
      </c>
      <c r="L30" s="172">
        <f t="shared" si="68"/>
        <v>16.47</v>
      </c>
      <c r="M30" s="168">
        <v>10.39</v>
      </c>
      <c r="N30" s="168">
        <f t="shared" si="57"/>
        <v>99.514076565591893</v>
      </c>
      <c r="O30" s="174">
        <f t="shared" si="58"/>
        <v>641.6970069281499</v>
      </c>
      <c r="P30" s="174">
        <f t="shared" si="59"/>
        <v>666.43220692814987</v>
      </c>
      <c r="Q30" s="175">
        <f t="shared" si="60"/>
        <v>1.1117685025817556</v>
      </c>
      <c r="R30" s="176"/>
      <c r="S30" s="177"/>
      <c r="T30" s="178">
        <f t="shared" si="61"/>
        <v>574.69912952143989</v>
      </c>
      <c r="U30" s="178">
        <f t="shared" si="62"/>
        <v>599.43432952143985</v>
      </c>
      <c r="V30" s="177"/>
      <c r="W30" s="176"/>
      <c r="X30" s="179">
        <v>-24.735199999999999</v>
      </c>
      <c r="Y30" s="180">
        <v>0.55000000000000004</v>
      </c>
      <c r="Z30" s="181"/>
      <c r="AA30" s="182">
        <v>-26.24</v>
      </c>
      <c r="AB30" s="182">
        <f t="shared" si="69"/>
        <v>430.02166362703196</v>
      </c>
      <c r="AC30" s="183">
        <f t="shared" si="70"/>
        <v>66.72</v>
      </c>
      <c r="AD30" s="184"/>
      <c r="AE30" s="184"/>
      <c r="AF30" s="184"/>
      <c r="AG30" s="185">
        <f t="shared" si="63"/>
        <v>36.629999999999995</v>
      </c>
      <c r="AH30" s="186">
        <f t="shared" si="64"/>
        <v>0.71772805507745274</v>
      </c>
      <c r="AI30" s="187"/>
      <c r="AJ30" s="240">
        <v>0.71699999999999997</v>
      </c>
      <c r="AK30" s="166">
        <f t="shared" si="83"/>
        <v>66.652319999999989</v>
      </c>
      <c r="AL30" s="190">
        <f t="shared" si="84"/>
        <v>429.79441426687237</v>
      </c>
      <c r="AM30" s="191"/>
      <c r="AN30" s="192"/>
      <c r="AO30" s="168"/>
      <c r="AP30" s="193"/>
      <c r="AQ30" s="165"/>
      <c r="AR30" s="194">
        <v>0</v>
      </c>
      <c r="AS30" s="195">
        <v>0</v>
      </c>
      <c r="AT30" s="196">
        <f t="shared" si="71"/>
        <v>92.96</v>
      </c>
      <c r="AU30" s="197">
        <f t="shared" si="72"/>
        <v>599.43432952143985</v>
      </c>
      <c r="AV30" s="197">
        <f t="shared" si="73"/>
        <v>599.43432952143985</v>
      </c>
      <c r="AW30" s="198"/>
      <c r="AX30" s="194">
        <v>0</v>
      </c>
      <c r="AY30" s="195">
        <v>0</v>
      </c>
      <c r="AZ30" s="196">
        <f t="shared" si="74"/>
        <v>92.96</v>
      </c>
      <c r="BA30" s="197">
        <f t="shared" si="75"/>
        <v>599.43432952143985</v>
      </c>
      <c r="BB30" s="197">
        <f t="shared" si="76"/>
        <v>599.43432952143985</v>
      </c>
      <c r="BC30" s="198"/>
      <c r="BD30" s="194">
        <v>0</v>
      </c>
      <c r="BE30" s="195">
        <v>0</v>
      </c>
      <c r="BF30" s="196">
        <f t="shared" si="77"/>
        <v>92.96</v>
      </c>
      <c r="BG30" s="197">
        <f t="shared" si="78"/>
        <v>599.43432952143985</v>
      </c>
      <c r="BH30" s="197">
        <f t="shared" si="79"/>
        <v>599.43432952143985</v>
      </c>
      <c r="BI30" s="198"/>
      <c r="BJ30" s="194">
        <v>0</v>
      </c>
      <c r="BK30" s="195">
        <v>0</v>
      </c>
      <c r="BL30" s="196">
        <f t="shared" si="80"/>
        <v>92.96</v>
      </c>
      <c r="BM30" s="197">
        <f t="shared" si="81"/>
        <v>599.43432952143985</v>
      </c>
      <c r="BN30" s="197">
        <f t="shared" si="82"/>
        <v>599.43432952143985</v>
      </c>
      <c r="BO30" s="198"/>
      <c r="BP30" s="201">
        <f t="shared" si="65"/>
        <v>-25.99</v>
      </c>
      <c r="BQ30" s="199"/>
      <c r="BR30" s="200"/>
      <c r="BS30" s="201" t="s">
        <v>114</v>
      </c>
      <c r="BT30" s="201" t="s">
        <v>114</v>
      </c>
      <c r="BU30" s="183" t="s">
        <v>114</v>
      </c>
      <c r="BV30" s="199"/>
      <c r="BW30" s="199"/>
      <c r="BX30" s="200"/>
      <c r="BY30" s="201" t="s">
        <v>114</v>
      </c>
      <c r="BZ30" s="201" t="s">
        <v>114</v>
      </c>
      <c r="CA30" s="183" t="s">
        <v>114</v>
      </c>
    </row>
    <row r="31" spans="2:79" x14ac:dyDescent="0.25">
      <c r="B31" s="164">
        <v>41365</v>
      </c>
      <c r="C31" s="165">
        <v>30</v>
      </c>
      <c r="D31" s="172">
        <v>92.07</v>
      </c>
      <c r="E31" s="167">
        <v>1.0186999999999999</v>
      </c>
      <c r="F31" s="168">
        <v>-2.96</v>
      </c>
      <c r="G31" s="169">
        <v>-0.830175</v>
      </c>
      <c r="H31" s="170">
        <f t="shared" si="66"/>
        <v>88.98049856387216</v>
      </c>
      <c r="I31" s="168">
        <f t="shared" si="67"/>
        <v>570.41363867458995</v>
      </c>
      <c r="J31" s="168">
        <f t="shared" si="55"/>
        <v>571.24381367459</v>
      </c>
      <c r="K31" s="171">
        <f t="shared" si="56"/>
        <v>0.96785054849570984</v>
      </c>
      <c r="L31" s="172">
        <f t="shared" si="68"/>
        <v>12.96</v>
      </c>
      <c r="M31" s="168">
        <v>10</v>
      </c>
      <c r="N31" s="168">
        <f t="shared" si="57"/>
        <v>99.194747708470345</v>
      </c>
      <c r="O31" s="174">
        <f t="shared" si="58"/>
        <v>635.89255950482993</v>
      </c>
      <c r="P31" s="174">
        <f t="shared" si="59"/>
        <v>654.32449850482999</v>
      </c>
      <c r="Q31" s="175">
        <f t="shared" si="60"/>
        <v>1.1086130118388182</v>
      </c>
      <c r="R31" s="176"/>
      <c r="S31" s="177"/>
      <c r="T31" s="178">
        <f t="shared" si="61"/>
        <v>571.78709281482998</v>
      </c>
      <c r="U31" s="178">
        <f t="shared" si="62"/>
        <v>590.21903181483003</v>
      </c>
      <c r="V31" s="177"/>
      <c r="W31" s="176"/>
      <c r="X31" s="179">
        <v>-18.431939</v>
      </c>
      <c r="Y31" s="180">
        <v>0.48</v>
      </c>
      <c r="Z31" s="181"/>
      <c r="AA31" s="182">
        <v>-23.2</v>
      </c>
      <c r="AB31" s="182">
        <f t="shared" si="69"/>
        <v>441.27970109382443</v>
      </c>
      <c r="AC31" s="183">
        <f t="shared" si="70"/>
        <v>68.86999999999999</v>
      </c>
      <c r="AD31" s="184"/>
      <c r="AE31" s="184"/>
      <c r="AF31" s="184"/>
      <c r="AG31" s="185">
        <f t="shared" si="63"/>
        <v>33.200000000000003</v>
      </c>
      <c r="AH31" s="186">
        <f t="shared" si="64"/>
        <v>0.74801781253394151</v>
      </c>
      <c r="AI31" s="187"/>
      <c r="AJ31" s="240">
        <v>0.77100000000000002</v>
      </c>
      <c r="AK31" s="166">
        <f t="shared" si="83"/>
        <v>70.985969999999995</v>
      </c>
      <c r="AL31" s="190">
        <f t="shared" si="84"/>
        <v>455.05887352923384</v>
      </c>
      <c r="AM31" s="191"/>
      <c r="AN31" s="192"/>
      <c r="AO31" s="168"/>
      <c r="AP31" s="193"/>
      <c r="AQ31" s="165"/>
      <c r="AR31" s="194">
        <v>0</v>
      </c>
      <c r="AS31" s="195">
        <v>0</v>
      </c>
      <c r="AT31" s="196">
        <f t="shared" si="71"/>
        <v>92.07</v>
      </c>
      <c r="AU31" s="197">
        <f t="shared" si="72"/>
        <v>590.21903181482992</v>
      </c>
      <c r="AV31" s="197">
        <f t="shared" si="73"/>
        <v>590.21903181482992</v>
      </c>
      <c r="AW31" s="198"/>
      <c r="AX31" s="194">
        <v>0</v>
      </c>
      <c r="AY31" s="195">
        <v>0</v>
      </c>
      <c r="AZ31" s="196">
        <f t="shared" si="74"/>
        <v>92.07</v>
      </c>
      <c r="BA31" s="197">
        <f t="shared" si="75"/>
        <v>590.21903181482992</v>
      </c>
      <c r="BB31" s="197">
        <f t="shared" si="76"/>
        <v>590.21903181482992</v>
      </c>
      <c r="BC31" s="198"/>
      <c r="BD31" s="194">
        <v>0</v>
      </c>
      <c r="BE31" s="195">
        <v>0</v>
      </c>
      <c r="BF31" s="196">
        <f t="shared" si="77"/>
        <v>92.07</v>
      </c>
      <c r="BG31" s="197">
        <f t="shared" si="78"/>
        <v>590.21903181482992</v>
      </c>
      <c r="BH31" s="197">
        <f t="shared" si="79"/>
        <v>590.21903181482992</v>
      </c>
      <c r="BI31" s="198"/>
      <c r="BJ31" s="194">
        <v>0</v>
      </c>
      <c r="BK31" s="195">
        <v>0</v>
      </c>
      <c r="BL31" s="196">
        <f t="shared" si="80"/>
        <v>92.07</v>
      </c>
      <c r="BM31" s="197">
        <f t="shared" si="81"/>
        <v>590.21903181482992</v>
      </c>
      <c r="BN31" s="197">
        <f t="shared" si="82"/>
        <v>590.21903181482992</v>
      </c>
      <c r="BO31" s="198"/>
      <c r="BP31" s="201">
        <f t="shared" si="65"/>
        <v>-22.95</v>
      </c>
      <c r="BQ31" s="199"/>
      <c r="BR31" s="200"/>
      <c r="BS31" s="201" t="s">
        <v>114</v>
      </c>
      <c r="BT31" s="201" t="s">
        <v>114</v>
      </c>
      <c r="BU31" s="183" t="s">
        <v>114</v>
      </c>
      <c r="BV31" s="199"/>
      <c r="BW31" s="199"/>
      <c r="BX31" s="200"/>
      <c r="BY31" s="201" t="s">
        <v>114</v>
      </c>
      <c r="BZ31" s="201" t="s">
        <v>114</v>
      </c>
      <c r="CA31" s="183" t="s">
        <v>114</v>
      </c>
    </row>
    <row r="32" spans="2:79" x14ac:dyDescent="0.25">
      <c r="B32" s="164">
        <v>41395</v>
      </c>
      <c r="C32" s="165">
        <v>31</v>
      </c>
      <c r="D32" s="172">
        <v>94.8</v>
      </c>
      <c r="E32" s="167">
        <v>1.0199</v>
      </c>
      <c r="F32" s="168">
        <v>-1.36</v>
      </c>
      <c r="G32" s="169">
        <v>-1.072001</v>
      </c>
      <c r="H32" s="170">
        <f t="shared" si="66"/>
        <v>93.272972170084358</v>
      </c>
      <c r="I32" s="168">
        <f t="shared" si="67"/>
        <v>598.63508667871997</v>
      </c>
      <c r="J32" s="168">
        <f t="shared" si="55"/>
        <v>599.70708767871997</v>
      </c>
      <c r="K32" s="171">
        <f t="shared" si="56"/>
        <v>0.98565400843881856</v>
      </c>
      <c r="L32" s="172">
        <f t="shared" si="68"/>
        <v>8.2799999999999994</v>
      </c>
      <c r="M32" s="168">
        <v>6.92</v>
      </c>
      <c r="N32" s="168">
        <f t="shared" si="57"/>
        <v>98.681310086472962</v>
      </c>
      <c r="O32" s="174">
        <f t="shared" si="58"/>
        <v>633.34633005436001</v>
      </c>
      <c r="P32" s="174">
        <f t="shared" si="59"/>
        <v>652.84894005436001</v>
      </c>
      <c r="Q32" s="175">
        <f t="shared" si="60"/>
        <v>1.0729957805907173</v>
      </c>
      <c r="R32" s="176"/>
      <c r="S32" s="177"/>
      <c r="T32" s="178">
        <f t="shared" si="61"/>
        <v>588.93309111240001</v>
      </c>
      <c r="U32" s="178">
        <f t="shared" si="62"/>
        <v>608.43570111240001</v>
      </c>
      <c r="V32" s="177"/>
      <c r="W32" s="176"/>
      <c r="X32" s="179">
        <v>-19.502610000000001</v>
      </c>
      <c r="Y32" s="180">
        <v>0.27</v>
      </c>
      <c r="Z32" s="181"/>
      <c r="AA32" s="182">
        <v>-13.87</v>
      </c>
      <c r="AB32" s="182">
        <f t="shared" si="69"/>
        <v>519.16414760392342</v>
      </c>
      <c r="AC32" s="183">
        <f t="shared" si="70"/>
        <v>80.929999999999993</v>
      </c>
      <c r="AD32" s="184"/>
      <c r="AE32" s="184"/>
      <c r="AF32" s="184"/>
      <c r="AG32" s="185">
        <f t="shared" si="63"/>
        <v>20.79</v>
      </c>
      <c r="AH32" s="186">
        <f t="shared" si="64"/>
        <v>0.85369198312236283</v>
      </c>
      <c r="AI32" s="187"/>
      <c r="AJ32" s="240">
        <v>0.73499999999999999</v>
      </c>
      <c r="AK32" s="166">
        <f t="shared" si="83"/>
        <v>69.677999999999997</v>
      </c>
      <c r="AL32" s="190">
        <f t="shared" si="84"/>
        <v>447.20024031761398</v>
      </c>
      <c r="AM32" s="191"/>
      <c r="AN32" s="192"/>
      <c r="AO32" s="168"/>
      <c r="AP32" s="193"/>
      <c r="AQ32" s="165"/>
      <c r="AR32" s="194">
        <v>0</v>
      </c>
      <c r="AS32" s="195">
        <v>0</v>
      </c>
      <c r="AT32" s="196">
        <f t="shared" si="71"/>
        <v>94.8</v>
      </c>
      <c r="AU32" s="197">
        <f t="shared" si="72"/>
        <v>608.43570111240001</v>
      </c>
      <c r="AV32" s="197">
        <f t="shared" si="73"/>
        <v>608.43570111240001</v>
      </c>
      <c r="AW32" s="198"/>
      <c r="AX32" s="194">
        <v>0</v>
      </c>
      <c r="AY32" s="195">
        <v>0</v>
      </c>
      <c r="AZ32" s="196">
        <f t="shared" si="74"/>
        <v>94.8</v>
      </c>
      <c r="BA32" s="197">
        <f t="shared" si="75"/>
        <v>608.43570111240001</v>
      </c>
      <c r="BB32" s="197">
        <f t="shared" si="76"/>
        <v>608.43570111240001</v>
      </c>
      <c r="BC32" s="198"/>
      <c r="BD32" s="194">
        <v>0</v>
      </c>
      <c r="BE32" s="195">
        <v>0</v>
      </c>
      <c r="BF32" s="196">
        <f t="shared" si="77"/>
        <v>94.8</v>
      </c>
      <c r="BG32" s="197">
        <f t="shared" si="78"/>
        <v>608.43570111240001</v>
      </c>
      <c r="BH32" s="197">
        <f t="shared" si="79"/>
        <v>608.43570111240001</v>
      </c>
      <c r="BI32" s="198"/>
      <c r="BJ32" s="194">
        <v>0</v>
      </c>
      <c r="BK32" s="195">
        <v>0</v>
      </c>
      <c r="BL32" s="196">
        <f t="shared" si="80"/>
        <v>94.8</v>
      </c>
      <c r="BM32" s="197">
        <f t="shared" si="81"/>
        <v>608.43570111240001</v>
      </c>
      <c r="BN32" s="197">
        <f t="shared" si="82"/>
        <v>608.43570111240001</v>
      </c>
      <c r="BO32" s="198"/>
      <c r="BP32" s="201">
        <f t="shared" si="65"/>
        <v>-13.62</v>
      </c>
      <c r="BQ32" s="199"/>
      <c r="BR32" s="200"/>
      <c r="BS32" s="201" t="s">
        <v>114</v>
      </c>
      <c r="BT32" s="201" t="s">
        <v>114</v>
      </c>
      <c r="BU32" s="183" t="s">
        <v>114</v>
      </c>
      <c r="BV32" s="199"/>
      <c r="BW32" s="199"/>
      <c r="BX32" s="200"/>
      <c r="BY32" s="201" t="s">
        <v>114</v>
      </c>
      <c r="BZ32" s="201" t="s">
        <v>114</v>
      </c>
      <c r="CA32" s="183" t="s">
        <v>114</v>
      </c>
    </row>
    <row r="33" spans="2:79" x14ac:dyDescent="0.25">
      <c r="B33" s="164">
        <v>41426</v>
      </c>
      <c r="C33" s="165">
        <v>30</v>
      </c>
      <c r="D33" s="172">
        <v>95.8</v>
      </c>
      <c r="E33" s="167">
        <v>1.0315000000000001</v>
      </c>
      <c r="F33" s="168">
        <v>-6.68</v>
      </c>
      <c r="G33" s="169">
        <v>-1.54471</v>
      </c>
      <c r="H33" s="170">
        <f t="shared" si="66"/>
        <v>88.882026298548922</v>
      </c>
      <c r="I33" s="168">
        <f t="shared" si="67"/>
        <v>576.94171249360011</v>
      </c>
      <c r="J33" s="168">
        <f t="shared" si="55"/>
        <v>578.48642249360012</v>
      </c>
      <c r="K33" s="171">
        <f t="shared" si="56"/>
        <v>0.93027139874739051</v>
      </c>
      <c r="L33" s="172">
        <f t="shared" si="68"/>
        <v>11.59</v>
      </c>
      <c r="M33" s="168">
        <v>4.91</v>
      </c>
      <c r="N33" s="168">
        <f t="shared" si="57"/>
        <v>98.397045242250599</v>
      </c>
      <c r="O33" s="174">
        <f t="shared" si="58"/>
        <v>638.70460823755002</v>
      </c>
      <c r="P33" s="174">
        <f t="shared" si="59"/>
        <v>653.71821823754999</v>
      </c>
      <c r="Q33" s="175">
        <f t="shared" si="60"/>
        <v>1.0512526096033403</v>
      </c>
      <c r="R33" s="176"/>
      <c r="S33" s="177"/>
      <c r="T33" s="178">
        <f t="shared" si="61"/>
        <v>606.83332979900001</v>
      </c>
      <c r="U33" s="178">
        <f t="shared" si="62"/>
        <v>621.84693979899998</v>
      </c>
      <c r="V33" s="177"/>
      <c r="W33" s="176"/>
      <c r="X33" s="179">
        <v>-15.01361</v>
      </c>
      <c r="Y33" s="180">
        <v>0.37</v>
      </c>
      <c r="Z33" s="181"/>
      <c r="AA33" s="182">
        <v>-20.41</v>
      </c>
      <c r="AB33" s="182">
        <f t="shared" si="69"/>
        <v>489.12576122324248</v>
      </c>
      <c r="AC33" s="183">
        <f t="shared" si="70"/>
        <v>75.39</v>
      </c>
      <c r="AD33" s="184"/>
      <c r="AE33" s="184"/>
      <c r="AF33" s="184"/>
      <c r="AG33" s="185">
        <f t="shared" si="63"/>
        <v>25.32</v>
      </c>
      <c r="AH33" s="186">
        <f t="shared" si="64"/>
        <v>0.78695198329853866</v>
      </c>
      <c r="AI33" s="187"/>
      <c r="AJ33" s="240">
        <v>0.73899999999999999</v>
      </c>
      <c r="AK33" s="166">
        <f t="shared" si="83"/>
        <v>70.796199999999999</v>
      </c>
      <c r="AL33" s="190">
        <f t="shared" si="84"/>
        <v>459.54488851146101</v>
      </c>
      <c r="AM33" s="191"/>
      <c r="AN33" s="192"/>
      <c r="AO33" s="168"/>
      <c r="AP33" s="193"/>
      <c r="AQ33" s="165"/>
      <c r="AR33" s="194">
        <v>0</v>
      </c>
      <c r="AS33" s="195">
        <v>0</v>
      </c>
      <c r="AT33" s="196">
        <f t="shared" si="71"/>
        <v>95.800000000000011</v>
      </c>
      <c r="AU33" s="197">
        <f t="shared" si="72"/>
        <v>621.8469397990001</v>
      </c>
      <c r="AV33" s="197">
        <f t="shared" si="73"/>
        <v>621.8469397990001</v>
      </c>
      <c r="AW33" s="198"/>
      <c r="AX33" s="194">
        <v>0</v>
      </c>
      <c r="AY33" s="195">
        <v>0</v>
      </c>
      <c r="AZ33" s="196">
        <f t="shared" si="74"/>
        <v>95.800000000000011</v>
      </c>
      <c r="BA33" s="197">
        <f t="shared" si="75"/>
        <v>621.8469397990001</v>
      </c>
      <c r="BB33" s="197">
        <f t="shared" si="76"/>
        <v>621.8469397990001</v>
      </c>
      <c r="BC33" s="198"/>
      <c r="BD33" s="194">
        <v>0</v>
      </c>
      <c r="BE33" s="195">
        <v>0</v>
      </c>
      <c r="BF33" s="196">
        <f t="shared" si="77"/>
        <v>95.800000000000011</v>
      </c>
      <c r="BG33" s="197">
        <f t="shared" si="78"/>
        <v>621.8469397990001</v>
      </c>
      <c r="BH33" s="197">
        <f t="shared" si="79"/>
        <v>621.8469397990001</v>
      </c>
      <c r="BI33" s="198"/>
      <c r="BJ33" s="194">
        <v>0</v>
      </c>
      <c r="BK33" s="195">
        <v>0</v>
      </c>
      <c r="BL33" s="196">
        <f t="shared" si="80"/>
        <v>95.800000000000011</v>
      </c>
      <c r="BM33" s="197">
        <f t="shared" si="81"/>
        <v>621.8469397990001</v>
      </c>
      <c r="BN33" s="197">
        <f t="shared" si="82"/>
        <v>621.8469397990001</v>
      </c>
      <c r="BO33" s="198"/>
      <c r="BP33" s="201">
        <f t="shared" si="65"/>
        <v>-20.16</v>
      </c>
      <c r="BQ33" s="199"/>
      <c r="BR33" s="200"/>
      <c r="BS33" s="201" t="s">
        <v>114</v>
      </c>
      <c r="BT33" s="201" t="s">
        <v>114</v>
      </c>
      <c r="BU33" s="183" t="s">
        <v>114</v>
      </c>
      <c r="BV33" s="199"/>
      <c r="BW33" s="199"/>
      <c r="BX33" s="200"/>
      <c r="BY33" s="201" t="s">
        <v>114</v>
      </c>
      <c r="BZ33" s="201" t="s">
        <v>114</v>
      </c>
      <c r="CA33" s="183" t="s">
        <v>114</v>
      </c>
    </row>
    <row r="34" spans="2:79" x14ac:dyDescent="0.25">
      <c r="B34" s="164">
        <v>41456</v>
      </c>
      <c r="C34" s="165">
        <v>31</v>
      </c>
      <c r="D34" s="172">
        <v>104.7</v>
      </c>
      <c r="E34" s="167">
        <v>1.0403</v>
      </c>
      <c r="F34" s="168">
        <v>-2.9</v>
      </c>
      <c r="G34" s="169">
        <v>-1.423</v>
      </c>
      <c r="H34" s="170">
        <f t="shared" si="66"/>
        <v>101.58263103297178</v>
      </c>
      <c r="I34" s="168">
        <f t="shared" si="67"/>
        <v>665.00791688979996</v>
      </c>
      <c r="J34" s="168">
        <f t="shared" si="55"/>
        <v>666.43091688979996</v>
      </c>
      <c r="K34" s="171">
        <f t="shared" si="56"/>
        <v>0.97230181470869148</v>
      </c>
      <c r="L34" s="172">
        <f t="shared" si="68"/>
        <v>4.5</v>
      </c>
      <c r="M34" s="168">
        <v>1.6</v>
      </c>
      <c r="N34" s="168">
        <f t="shared" si="57"/>
        <v>103.4813370412546</v>
      </c>
      <c r="O34" s="174">
        <f t="shared" si="58"/>
        <v>677.43774386429993</v>
      </c>
      <c r="P34" s="174">
        <f t="shared" si="59"/>
        <v>695.89004386429997</v>
      </c>
      <c r="Q34" s="175">
        <f t="shared" si="60"/>
        <v>1.0152817574021011</v>
      </c>
      <c r="R34" s="176"/>
      <c r="S34" s="177"/>
      <c r="T34" s="178">
        <f t="shared" si="61"/>
        <v>666.96338760669994</v>
      </c>
      <c r="U34" s="178">
        <f t="shared" si="62"/>
        <v>685.41568760669998</v>
      </c>
      <c r="V34" s="177"/>
      <c r="W34" s="176"/>
      <c r="X34" s="179">
        <v>-18.452300000000001</v>
      </c>
      <c r="Y34" s="180">
        <v>0.2</v>
      </c>
      <c r="Z34" s="181"/>
      <c r="AA34" s="182">
        <v>-14.2</v>
      </c>
      <c r="AB34" s="182">
        <f t="shared" si="69"/>
        <v>592.1677326150749</v>
      </c>
      <c r="AC34" s="183">
        <f t="shared" si="70"/>
        <v>90.5</v>
      </c>
      <c r="AD34" s="184"/>
      <c r="AE34" s="184"/>
      <c r="AF34" s="184"/>
      <c r="AG34" s="185">
        <f t="shared" si="63"/>
        <v>15.799999999999999</v>
      </c>
      <c r="AH34" s="186">
        <f t="shared" si="64"/>
        <v>0.86437440305635149</v>
      </c>
      <c r="AI34" s="187"/>
      <c r="AJ34" s="240">
        <v>0.69</v>
      </c>
      <c r="AK34" s="166">
        <f t="shared" si="83"/>
        <v>72.242999999999981</v>
      </c>
      <c r="AL34" s="190">
        <f t="shared" si="84"/>
        <v>472.93682444862293</v>
      </c>
      <c r="AM34" s="191"/>
      <c r="AN34" s="192"/>
      <c r="AO34" s="168"/>
      <c r="AP34" s="193"/>
      <c r="AQ34" s="165"/>
      <c r="AR34" s="194">
        <v>0</v>
      </c>
      <c r="AS34" s="195">
        <v>0</v>
      </c>
      <c r="AT34" s="196">
        <f t="shared" si="71"/>
        <v>104.69999999999999</v>
      </c>
      <c r="AU34" s="197">
        <f t="shared" si="72"/>
        <v>685.41568760669998</v>
      </c>
      <c r="AV34" s="197">
        <f t="shared" si="73"/>
        <v>685.41568760669998</v>
      </c>
      <c r="AW34" s="198"/>
      <c r="AX34" s="194">
        <v>0</v>
      </c>
      <c r="AY34" s="195">
        <v>0</v>
      </c>
      <c r="AZ34" s="196">
        <f t="shared" si="74"/>
        <v>104.69999999999999</v>
      </c>
      <c r="BA34" s="197">
        <f t="shared" si="75"/>
        <v>685.41568760669998</v>
      </c>
      <c r="BB34" s="197">
        <f t="shared" si="76"/>
        <v>685.41568760669998</v>
      </c>
      <c r="BC34" s="198"/>
      <c r="BD34" s="194">
        <v>0</v>
      </c>
      <c r="BE34" s="195">
        <v>0</v>
      </c>
      <c r="BF34" s="196">
        <f t="shared" si="77"/>
        <v>104.69999999999999</v>
      </c>
      <c r="BG34" s="197">
        <f t="shared" si="78"/>
        <v>685.41568760669998</v>
      </c>
      <c r="BH34" s="197">
        <f t="shared" si="79"/>
        <v>685.41568760669998</v>
      </c>
      <c r="BI34" s="198"/>
      <c r="BJ34" s="194">
        <v>0</v>
      </c>
      <c r="BK34" s="195">
        <v>0</v>
      </c>
      <c r="BL34" s="196">
        <f t="shared" si="80"/>
        <v>104.69999999999999</v>
      </c>
      <c r="BM34" s="197">
        <f t="shared" si="81"/>
        <v>685.41568760669998</v>
      </c>
      <c r="BN34" s="197">
        <f t="shared" si="82"/>
        <v>685.41568760669998</v>
      </c>
      <c r="BO34" s="198"/>
      <c r="BP34" s="201">
        <f t="shared" si="65"/>
        <v>-13.95</v>
      </c>
      <c r="BQ34" s="199"/>
      <c r="BR34" s="200"/>
      <c r="BS34" s="201" t="s">
        <v>114</v>
      </c>
      <c r="BT34" s="201" t="s">
        <v>114</v>
      </c>
      <c r="BU34" s="183" t="s">
        <v>114</v>
      </c>
      <c r="BV34" s="199"/>
      <c r="BW34" s="199"/>
      <c r="BX34" s="200"/>
      <c r="BY34" s="201" t="s">
        <v>114</v>
      </c>
      <c r="BZ34" s="201" t="s">
        <v>114</v>
      </c>
      <c r="CA34" s="183" t="s">
        <v>114</v>
      </c>
    </row>
    <row r="35" spans="2:79" x14ac:dyDescent="0.25">
      <c r="B35" s="164">
        <v>41487</v>
      </c>
      <c r="C35" s="165">
        <v>31</v>
      </c>
      <c r="D35" s="172">
        <v>106.54</v>
      </c>
      <c r="E35" s="167">
        <v>1.0408999999999999</v>
      </c>
      <c r="F35" s="168">
        <v>-4.7300000000000004</v>
      </c>
      <c r="G35" s="169">
        <v>-1.3671</v>
      </c>
      <c r="H35" s="170">
        <f t="shared" si="66"/>
        <v>101.60129035724079</v>
      </c>
      <c r="I35" s="168">
        <f t="shared" si="67"/>
        <v>665.51368787322986</v>
      </c>
      <c r="J35" s="168">
        <f t="shared" si="55"/>
        <v>666.88078787322991</v>
      </c>
      <c r="K35" s="171">
        <f t="shared" si="56"/>
        <v>0.95560352919091418</v>
      </c>
      <c r="L35" s="172">
        <f t="shared" si="68"/>
        <v>1.9500000000000006</v>
      </c>
      <c r="M35" s="168">
        <v>-2.78</v>
      </c>
      <c r="N35" s="168">
        <f t="shared" si="57"/>
        <v>101.74909503429132</v>
      </c>
      <c r="O35" s="174">
        <f t="shared" si="58"/>
        <v>666.48184522008</v>
      </c>
      <c r="P35" s="174">
        <f t="shared" si="59"/>
        <v>679.65377222007999</v>
      </c>
      <c r="Q35" s="175">
        <f t="shared" si="60"/>
        <v>0.97390651398535766</v>
      </c>
      <c r="R35" s="176"/>
      <c r="S35" s="177"/>
      <c r="T35" s="178">
        <f t="shared" si="61"/>
        <v>684.69153572482003</v>
      </c>
      <c r="U35" s="178">
        <f t="shared" si="62"/>
        <v>697.86346272482001</v>
      </c>
      <c r="V35" s="177"/>
      <c r="W35" s="176"/>
      <c r="X35" s="179">
        <v>-13.171927</v>
      </c>
      <c r="Y35" s="180">
        <v>0.16</v>
      </c>
      <c r="Z35" s="181"/>
      <c r="AA35" s="182">
        <v>-15.57</v>
      </c>
      <c r="AB35" s="182">
        <f t="shared" si="69"/>
        <v>595.58638928746643</v>
      </c>
      <c r="AC35" s="183">
        <f t="shared" si="70"/>
        <v>90.97</v>
      </c>
      <c r="AD35" s="184"/>
      <c r="AE35" s="184"/>
      <c r="AF35" s="184"/>
      <c r="AG35" s="185">
        <f t="shared" si="63"/>
        <v>12.790000000000001</v>
      </c>
      <c r="AH35" s="186">
        <f t="shared" si="64"/>
        <v>0.85385770602590572</v>
      </c>
      <c r="AI35" s="187"/>
      <c r="AJ35" s="240">
        <v>0.71199999999999997</v>
      </c>
      <c r="AK35" s="166">
        <f t="shared" si="83"/>
        <v>75.856480000000005</v>
      </c>
      <c r="AL35" s="190">
        <f t="shared" si="84"/>
        <v>496.87878546007181</v>
      </c>
      <c r="AM35" s="191"/>
      <c r="AN35" s="192"/>
      <c r="AO35" s="168"/>
      <c r="AP35" s="193"/>
      <c r="AQ35" s="165"/>
      <c r="AR35" s="194">
        <v>0</v>
      </c>
      <c r="AS35" s="195">
        <v>0</v>
      </c>
      <c r="AT35" s="196">
        <f t="shared" si="71"/>
        <v>106.54</v>
      </c>
      <c r="AU35" s="197">
        <f t="shared" si="72"/>
        <v>697.86346272482001</v>
      </c>
      <c r="AV35" s="197">
        <f t="shared" si="73"/>
        <v>697.86346272482001</v>
      </c>
      <c r="AW35" s="198"/>
      <c r="AX35" s="194">
        <v>0</v>
      </c>
      <c r="AY35" s="195">
        <v>0</v>
      </c>
      <c r="AZ35" s="196">
        <f t="shared" si="74"/>
        <v>106.54</v>
      </c>
      <c r="BA35" s="197">
        <f t="shared" si="75"/>
        <v>697.86346272482001</v>
      </c>
      <c r="BB35" s="197">
        <f t="shared" si="76"/>
        <v>697.86346272482001</v>
      </c>
      <c r="BC35" s="198"/>
      <c r="BD35" s="194">
        <v>0</v>
      </c>
      <c r="BE35" s="195">
        <v>0</v>
      </c>
      <c r="BF35" s="196">
        <f t="shared" si="77"/>
        <v>106.54</v>
      </c>
      <c r="BG35" s="197">
        <f t="shared" si="78"/>
        <v>697.86346272482001</v>
      </c>
      <c r="BH35" s="197">
        <f t="shared" si="79"/>
        <v>697.86346272482001</v>
      </c>
      <c r="BI35" s="198"/>
      <c r="BJ35" s="194">
        <v>0</v>
      </c>
      <c r="BK35" s="195">
        <v>0</v>
      </c>
      <c r="BL35" s="196">
        <f t="shared" si="80"/>
        <v>106.54</v>
      </c>
      <c r="BM35" s="197">
        <f t="shared" si="81"/>
        <v>697.86346272482001</v>
      </c>
      <c r="BN35" s="197">
        <f t="shared" si="82"/>
        <v>697.86346272482001</v>
      </c>
      <c r="BO35" s="198"/>
      <c r="BP35" s="201">
        <f t="shared" si="65"/>
        <v>-15.32</v>
      </c>
      <c r="BQ35" s="199"/>
      <c r="BR35" s="200"/>
      <c r="BS35" s="201" t="s">
        <v>114</v>
      </c>
      <c r="BT35" s="201" t="s">
        <v>114</v>
      </c>
      <c r="BU35" s="183" t="s">
        <v>114</v>
      </c>
      <c r="BV35" s="199"/>
      <c r="BW35" s="199"/>
      <c r="BX35" s="200"/>
      <c r="BY35" s="201" t="s">
        <v>114</v>
      </c>
      <c r="BZ35" s="201" t="s">
        <v>114</v>
      </c>
      <c r="CA35" s="183" t="s">
        <v>114</v>
      </c>
    </row>
    <row r="36" spans="2:79" x14ac:dyDescent="0.25">
      <c r="B36" s="164">
        <v>41518</v>
      </c>
      <c r="C36" s="165">
        <v>30</v>
      </c>
      <c r="D36" s="172">
        <v>106.24</v>
      </c>
      <c r="E36" s="167">
        <v>1.0342</v>
      </c>
      <c r="F36" s="168">
        <v>-6.54</v>
      </c>
      <c r="G36" s="169">
        <v>-1.5042</v>
      </c>
      <c r="H36" s="170">
        <f t="shared" si="66"/>
        <v>99.468872143913515</v>
      </c>
      <c r="I36" s="168">
        <f t="shared" si="67"/>
        <v>647.35198955379985</v>
      </c>
      <c r="J36" s="168">
        <f t="shared" si="55"/>
        <v>648.85618955379982</v>
      </c>
      <c r="K36" s="171">
        <f t="shared" si="56"/>
        <v>0.93844126506024095</v>
      </c>
      <c r="L36" s="172">
        <f t="shared" si="68"/>
        <v>1.6600000000000001</v>
      </c>
      <c r="M36" s="168">
        <v>-4.88</v>
      </c>
      <c r="N36" s="168">
        <f t="shared" si="57"/>
        <v>99.484087525716546</v>
      </c>
      <c r="O36" s="174">
        <f t="shared" si="58"/>
        <v>647.45101256943997</v>
      </c>
      <c r="P36" s="174">
        <f t="shared" si="59"/>
        <v>659.65961256944001</v>
      </c>
      <c r="Q36" s="175">
        <f t="shared" si="60"/>
        <v>0.95406626506024106</v>
      </c>
      <c r="R36" s="176"/>
      <c r="S36" s="177"/>
      <c r="T36" s="178">
        <f t="shared" si="61"/>
        <v>679.21047300095995</v>
      </c>
      <c r="U36" s="178">
        <f t="shared" si="62"/>
        <v>691.41907300096</v>
      </c>
      <c r="V36" s="177"/>
      <c r="W36" s="176"/>
      <c r="X36" s="179">
        <v>-12.208600000000001</v>
      </c>
      <c r="Y36" s="180">
        <v>0.24</v>
      </c>
      <c r="Z36" s="181"/>
      <c r="AA36" s="182">
        <v>-22.67</v>
      </c>
      <c r="AB36" s="182">
        <f t="shared" si="69"/>
        <v>543.61633313618688</v>
      </c>
      <c r="AC36" s="183">
        <f t="shared" si="70"/>
        <v>83.57</v>
      </c>
      <c r="AD36" s="184"/>
      <c r="AE36" s="184"/>
      <c r="AF36" s="184"/>
      <c r="AG36" s="185">
        <f t="shared" si="63"/>
        <v>17.790000000000003</v>
      </c>
      <c r="AH36" s="186">
        <f t="shared" si="64"/>
        <v>0.78661521084337349</v>
      </c>
      <c r="AI36" s="187"/>
      <c r="AJ36" s="240">
        <v>0.73799999999999999</v>
      </c>
      <c r="AK36" s="166">
        <f t="shared" si="83"/>
        <v>78.405119999999997</v>
      </c>
      <c r="AL36" s="190">
        <f t="shared" si="84"/>
        <v>510.26727587470845</v>
      </c>
      <c r="AM36" s="191"/>
      <c r="AN36" s="192"/>
      <c r="AO36" s="168"/>
      <c r="AP36" s="193"/>
      <c r="AQ36" s="165"/>
      <c r="AR36" s="194">
        <v>0</v>
      </c>
      <c r="AS36" s="195">
        <v>0</v>
      </c>
      <c r="AT36" s="196">
        <f t="shared" si="71"/>
        <v>106.23999999999998</v>
      </c>
      <c r="AU36" s="197">
        <f t="shared" si="72"/>
        <v>691.41907300095988</v>
      </c>
      <c r="AV36" s="197">
        <f t="shared" si="73"/>
        <v>691.41907300095988</v>
      </c>
      <c r="AW36" s="198"/>
      <c r="AX36" s="194">
        <v>0</v>
      </c>
      <c r="AY36" s="195">
        <v>0</v>
      </c>
      <c r="AZ36" s="196">
        <f t="shared" si="74"/>
        <v>106.23999999999998</v>
      </c>
      <c r="BA36" s="197">
        <f t="shared" si="75"/>
        <v>691.41907300095988</v>
      </c>
      <c r="BB36" s="197">
        <f t="shared" si="76"/>
        <v>691.41907300095988</v>
      </c>
      <c r="BC36" s="198"/>
      <c r="BD36" s="194">
        <v>0</v>
      </c>
      <c r="BE36" s="195">
        <v>0</v>
      </c>
      <c r="BF36" s="196">
        <f t="shared" si="77"/>
        <v>106.23999999999998</v>
      </c>
      <c r="BG36" s="197">
        <f t="shared" si="78"/>
        <v>691.41907300095988</v>
      </c>
      <c r="BH36" s="197">
        <f t="shared" si="79"/>
        <v>691.41907300095988</v>
      </c>
      <c r="BI36" s="198"/>
      <c r="BJ36" s="194">
        <v>0</v>
      </c>
      <c r="BK36" s="195">
        <v>0</v>
      </c>
      <c r="BL36" s="196">
        <f t="shared" si="80"/>
        <v>106.23999999999998</v>
      </c>
      <c r="BM36" s="197">
        <f t="shared" si="81"/>
        <v>691.41907300095988</v>
      </c>
      <c r="BN36" s="197">
        <f t="shared" si="82"/>
        <v>691.41907300095988</v>
      </c>
      <c r="BO36" s="198"/>
      <c r="BP36" s="201">
        <f t="shared" si="65"/>
        <v>-22.42</v>
      </c>
      <c r="BQ36" s="199"/>
      <c r="BR36" s="200"/>
      <c r="BS36" s="201" t="s">
        <v>114</v>
      </c>
      <c r="BT36" s="201" t="s">
        <v>114</v>
      </c>
      <c r="BU36" s="183" t="s">
        <v>114</v>
      </c>
      <c r="BV36" s="199"/>
      <c r="BW36" s="199"/>
      <c r="BX36" s="200"/>
      <c r="BY36" s="201" t="s">
        <v>114</v>
      </c>
      <c r="BZ36" s="201" t="s">
        <v>114</v>
      </c>
      <c r="CA36" s="183" t="s">
        <v>114</v>
      </c>
    </row>
    <row r="37" spans="2:79" x14ac:dyDescent="0.25">
      <c r="B37" s="164">
        <v>41548</v>
      </c>
      <c r="C37" s="165">
        <v>31</v>
      </c>
      <c r="D37" s="172">
        <v>100.55</v>
      </c>
      <c r="E37" s="167">
        <v>1.0364</v>
      </c>
      <c r="F37" s="168">
        <v>-9.3000000000000007</v>
      </c>
      <c r="G37" s="169">
        <v>-1.27</v>
      </c>
      <c r="H37" s="170">
        <f t="shared" si="66"/>
        <v>91.055272379668665</v>
      </c>
      <c r="I37" s="168">
        <f t="shared" si="67"/>
        <v>593.85615520499994</v>
      </c>
      <c r="J37" s="168">
        <f t="shared" si="55"/>
        <v>595.12615520499992</v>
      </c>
      <c r="K37" s="171">
        <f t="shared" si="56"/>
        <v>0.90750870213823975</v>
      </c>
      <c r="L37" s="172">
        <f t="shared" si="68"/>
        <v>7.3800000000000008</v>
      </c>
      <c r="M37" s="168">
        <v>-1.92</v>
      </c>
      <c r="N37" s="168">
        <f t="shared" si="57"/>
        <v>96.242670040504919</v>
      </c>
      <c r="O37" s="174">
        <f t="shared" si="58"/>
        <v>627.68800205883986</v>
      </c>
      <c r="P37" s="174">
        <f t="shared" si="59"/>
        <v>643.25800205883991</v>
      </c>
      <c r="Q37" s="175">
        <f t="shared" si="60"/>
        <v>0.98090502237692689</v>
      </c>
      <c r="R37" s="176"/>
      <c r="S37" s="177"/>
      <c r="T37" s="178">
        <f t="shared" si="61"/>
        <v>640.21010855739996</v>
      </c>
      <c r="U37" s="178">
        <f t="shared" si="62"/>
        <v>655.78010855740001</v>
      </c>
      <c r="V37" s="177"/>
      <c r="W37" s="176"/>
      <c r="X37" s="179">
        <v>-15.57</v>
      </c>
      <c r="Y37" s="180">
        <v>0.35</v>
      </c>
      <c r="Z37" s="181"/>
      <c r="AA37" s="182">
        <v>-26.34</v>
      </c>
      <c r="AB37" s="182">
        <f t="shared" si="69"/>
        <v>483.75715007926198</v>
      </c>
      <c r="AC37" s="183">
        <f t="shared" si="70"/>
        <v>74.209999999999994</v>
      </c>
      <c r="AD37" s="184"/>
      <c r="AE37" s="184"/>
      <c r="AF37" s="184"/>
      <c r="AG37" s="185">
        <f t="shared" si="63"/>
        <v>24.42</v>
      </c>
      <c r="AH37" s="186">
        <f t="shared" si="64"/>
        <v>0.73804077573346594</v>
      </c>
      <c r="AI37" s="187"/>
      <c r="AJ37" s="240">
        <v>0.75</v>
      </c>
      <c r="AK37" s="166">
        <f t="shared" si="83"/>
        <v>75.412499999999994</v>
      </c>
      <c r="AL37" s="190">
        <f t="shared" si="84"/>
        <v>491.83508141804992</v>
      </c>
      <c r="AM37" s="191"/>
      <c r="AN37" s="192"/>
      <c r="AO37" s="168"/>
      <c r="AP37" s="193"/>
      <c r="AQ37" s="165"/>
      <c r="AR37" s="194">
        <v>0</v>
      </c>
      <c r="AS37" s="195">
        <v>0</v>
      </c>
      <c r="AT37" s="196">
        <f t="shared" si="71"/>
        <v>100.54999999999998</v>
      </c>
      <c r="AU37" s="197">
        <f t="shared" si="72"/>
        <v>655.7801085573999</v>
      </c>
      <c r="AV37" s="197">
        <f t="shared" si="73"/>
        <v>655.7801085573999</v>
      </c>
      <c r="AW37" s="198"/>
      <c r="AX37" s="194">
        <v>0</v>
      </c>
      <c r="AY37" s="195">
        <v>0</v>
      </c>
      <c r="AZ37" s="196">
        <f t="shared" si="74"/>
        <v>100.54999999999998</v>
      </c>
      <c r="BA37" s="197">
        <f t="shared" si="75"/>
        <v>655.7801085573999</v>
      </c>
      <c r="BB37" s="197">
        <f t="shared" si="76"/>
        <v>655.7801085573999</v>
      </c>
      <c r="BC37" s="198"/>
      <c r="BD37" s="194">
        <v>0</v>
      </c>
      <c r="BE37" s="195">
        <v>0</v>
      </c>
      <c r="BF37" s="196">
        <f t="shared" si="77"/>
        <v>100.54999999999998</v>
      </c>
      <c r="BG37" s="197">
        <f t="shared" si="78"/>
        <v>655.7801085573999</v>
      </c>
      <c r="BH37" s="197">
        <f t="shared" si="79"/>
        <v>655.7801085573999</v>
      </c>
      <c r="BI37" s="198"/>
      <c r="BJ37" s="194">
        <v>0</v>
      </c>
      <c r="BK37" s="195">
        <v>0</v>
      </c>
      <c r="BL37" s="196">
        <f t="shared" si="80"/>
        <v>100.54999999999998</v>
      </c>
      <c r="BM37" s="197">
        <f t="shared" si="81"/>
        <v>655.7801085573999</v>
      </c>
      <c r="BN37" s="197">
        <f t="shared" si="82"/>
        <v>655.7801085573999</v>
      </c>
      <c r="BO37" s="198"/>
      <c r="BP37" s="201">
        <f t="shared" si="65"/>
        <v>-26.09</v>
      </c>
      <c r="BQ37" s="199"/>
      <c r="BR37" s="200"/>
      <c r="BS37" s="201" t="s">
        <v>114</v>
      </c>
      <c r="BT37" s="201" t="s">
        <v>114</v>
      </c>
      <c r="BU37" s="183" t="s">
        <v>114</v>
      </c>
      <c r="BV37" s="199"/>
      <c r="BW37" s="199"/>
      <c r="BX37" s="200"/>
      <c r="BY37" s="201" t="s">
        <v>114</v>
      </c>
      <c r="BZ37" s="201" t="s">
        <v>114</v>
      </c>
      <c r="CA37" s="183" t="s">
        <v>114</v>
      </c>
    </row>
    <row r="38" spans="2:79" x14ac:dyDescent="0.25">
      <c r="B38" s="164">
        <v>41579</v>
      </c>
      <c r="C38" s="165">
        <v>30</v>
      </c>
      <c r="D38" s="172">
        <v>93.93</v>
      </c>
      <c r="E38" s="167">
        <v>1.0491999999999999</v>
      </c>
      <c r="F38" s="168">
        <v>-16.18</v>
      </c>
      <c r="G38" s="169">
        <v>-1.4</v>
      </c>
      <c r="H38" s="170">
        <f t="shared" si="66"/>
        <v>77.537958438528406</v>
      </c>
      <c r="I38" s="168">
        <f t="shared" si="67"/>
        <v>511.94275811099999</v>
      </c>
      <c r="J38" s="168">
        <f t="shared" si="55"/>
        <v>513.34275811099997</v>
      </c>
      <c r="K38" s="171">
        <f t="shared" si="56"/>
        <v>0.82774406472905349</v>
      </c>
      <c r="L38" s="172">
        <f t="shared" si="68"/>
        <v>9.77</v>
      </c>
      <c r="M38" s="168">
        <v>-6.41</v>
      </c>
      <c r="N38" s="168">
        <f t="shared" si="57"/>
        <v>84.857363820949359</v>
      </c>
      <c r="O38" s="174">
        <f t="shared" si="58"/>
        <v>560.26897993407999</v>
      </c>
      <c r="P38" s="174">
        <f t="shared" si="59"/>
        <v>577.84897993408003</v>
      </c>
      <c r="Q38" s="175">
        <f t="shared" si="60"/>
        <v>0.93175769189822211</v>
      </c>
      <c r="R38" s="176"/>
      <c r="S38" s="177"/>
      <c r="T38" s="178">
        <f t="shared" si="61"/>
        <v>602.59087163171989</v>
      </c>
      <c r="U38" s="178">
        <f t="shared" si="62"/>
        <v>620.17087163171993</v>
      </c>
      <c r="V38" s="177"/>
      <c r="W38" s="176"/>
      <c r="X38" s="179">
        <v>-17.579999999999998</v>
      </c>
      <c r="Y38" s="180">
        <v>0.38</v>
      </c>
      <c r="Z38" s="181"/>
      <c r="AA38" s="182">
        <v>-31.31</v>
      </c>
      <c r="AB38" s="182">
        <f t="shared" si="69"/>
        <v>413.24623583869197</v>
      </c>
      <c r="AC38" s="183">
        <f t="shared" si="70"/>
        <v>62.620000000000005</v>
      </c>
      <c r="AD38" s="184"/>
      <c r="AE38" s="184"/>
      <c r="AF38" s="184"/>
      <c r="AG38" s="185">
        <f t="shared" si="63"/>
        <v>24.9</v>
      </c>
      <c r="AH38" s="186">
        <f t="shared" si="64"/>
        <v>0.66666666666666663</v>
      </c>
      <c r="AI38" s="187"/>
      <c r="AJ38" s="240">
        <v>0.76</v>
      </c>
      <c r="AK38" s="166">
        <f t="shared" si="83"/>
        <v>71.386800000000008</v>
      </c>
      <c r="AL38" s="190">
        <f t="shared" si="84"/>
        <v>471.32986244010715</v>
      </c>
      <c r="AM38" s="191"/>
      <c r="AN38" s="192"/>
      <c r="AO38" s="168"/>
      <c r="AP38" s="193"/>
      <c r="AQ38" s="165"/>
      <c r="AR38" s="194">
        <v>0</v>
      </c>
      <c r="AS38" s="195">
        <v>0</v>
      </c>
      <c r="AT38" s="196">
        <f t="shared" si="71"/>
        <v>93.93</v>
      </c>
      <c r="AU38" s="197">
        <f t="shared" si="72"/>
        <v>620.17087163171993</v>
      </c>
      <c r="AV38" s="197">
        <f t="shared" si="73"/>
        <v>620.17087163171993</v>
      </c>
      <c r="AW38" s="198"/>
      <c r="AX38" s="194">
        <v>0</v>
      </c>
      <c r="AY38" s="195">
        <v>0</v>
      </c>
      <c r="AZ38" s="196">
        <f t="shared" si="74"/>
        <v>93.93</v>
      </c>
      <c r="BA38" s="197">
        <f t="shared" si="75"/>
        <v>620.17087163171993</v>
      </c>
      <c r="BB38" s="197">
        <f t="shared" si="76"/>
        <v>620.17087163171993</v>
      </c>
      <c r="BC38" s="198"/>
      <c r="BD38" s="194">
        <v>0</v>
      </c>
      <c r="BE38" s="195">
        <v>0</v>
      </c>
      <c r="BF38" s="196">
        <f t="shared" si="77"/>
        <v>93.93</v>
      </c>
      <c r="BG38" s="197">
        <f t="shared" si="78"/>
        <v>620.17087163171993</v>
      </c>
      <c r="BH38" s="197">
        <f t="shared" si="79"/>
        <v>620.17087163171993</v>
      </c>
      <c r="BI38" s="198"/>
      <c r="BJ38" s="194">
        <v>0</v>
      </c>
      <c r="BK38" s="195">
        <v>0</v>
      </c>
      <c r="BL38" s="196">
        <f t="shared" si="80"/>
        <v>93.93</v>
      </c>
      <c r="BM38" s="197">
        <f t="shared" si="81"/>
        <v>620.17087163171993</v>
      </c>
      <c r="BN38" s="197">
        <f t="shared" si="82"/>
        <v>620.17087163171993</v>
      </c>
      <c r="BO38" s="198"/>
      <c r="BP38" s="201">
        <f t="shared" si="65"/>
        <v>-31.06</v>
      </c>
      <c r="BQ38" s="199"/>
      <c r="BR38" s="200"/>
      <c r="BS38" s="201" t="s">
        <v>114</v>
      </c>
      <c r="BT38" s="201" t="s">
        <v>114</v>
      </c>
      <c r="BU38" s="183" t="s">
        <v>114</v>
      </c>
      <c r="BV38" s="199"/>
      <c r="BW38" s="199"/>
      <c r="BX38" s="200"/>
      <c r="BY38" s="201" t="s">
        <v>114</v>
      </c>
      <c r="BZ38" s="201" t="s">
        <v>114</v>
      </c>
      <c r="CA38" s="183" t="s">
        <v>114</v>
      </c>
    </row>
    <row r="39" spans="2:79" x14ac:dyDescent="0.25">
      <c r="B39" s="202">
        <v>41609</v>
      </c>
      <c r="C39" s="203">
        <v>31</v>
      </c>
      <c r="D39" s="210">
        <v>97.894300000000001</v>
      </c>
      <c r="E39" s="205">
        <v>1.0639000000000001</v>
      </c>
      <c r="F39" s="206">
        <v>-19.309999999999999</v>
      </c>
      <c r="G39" s="207">
        <v>-1.3</v>
      </c>
      <c r="H39" s="208">
        <f t="shared" si="66"/>
        <v>78.390124790068342</v>
      </c>
      <c r="I39" s="206">
        <f t="shared" si="67"/>
        <v>524.82066203482998</v>
      </c>
      <c r="J39" s="206">
        <f t="shared" si="55"/>
        <v>526.12066203482993</v>
      </c>
      <c r="K39" s="209">
        <f t="shared" si="56"/>
        <v>0.80274643161042059</v>
      </c>
      <c r="L39" s="210">
        <f t="shared" si="68"/>
        <v>17.93</v>
      </c>
      <c r="M39" s="206">
        <v>-1.38</v>
      </c>
      <c r="N39" s="206">
        <f t="shared" si="57"/>
        <v>94.390321934439783</v>
      </c>
      <c r="O39" s="212">
        <f t="shared" si="58"/>
        <v>631.94173220131995</v>
      </c>
      <c r="P39" s="212">
        <f t="shared" si="59"/>
        <v>646.16173220131998</v>
      </c>
      <c r="Q39" s="213">
        <f t="shared" si="60"/>
        <v>0.98590316290121083</v>
      </c>
      <c r="R39" s="214"/>
      <c r="S39" s="215"/>
      <c r="T39" s="216">
        <f t="shared" si="61"/>
        <v>641.18081066365994</v>
      </c>
      <c r="U39" s="216">
        <f t="shared" si="62"/>
        <v>655.40081066365997</v>
      </c>
      <c r="V39" s="215"/>
      <c r="W39" s="214"/>
      <c r="X39" s="217">
        <v>-14.22</v>
      </c>
      <c r="Y39" s="218">
        <v>0.6</v>
      </c>
      <c r="Z39" s="219"/>
      <c r="AA39" s="220">
        <v>-38.94</v>
      </c>
      <c r="AB39" s="220">
        <f t="shared" si="69"/>
        <v>394.50622203288361</v>
      </c>
      <c r="AC39" s="221">
        <f t="shared" si="70"/>
        <v>58.954300000000003</v>
      </c>
      <c r="AD39" s="222"/>
      <c r="AE39" s="222"/>
      <c r="AF39" s="222"/>
      <c r="AG39" s="223">
        <f t="shared" si="63"/>
        <v>37.559999999999995</v>
      </c>
      <c r="AH39" s="224">
        <f t="shared" si="64"/>
        <v>0.60222403142981773</v>
      </c>
      <c r="AI39" s="225"/>
      <c r="AJ39" s="241">
        <v>0.76100000000000001</v>
      </c>
      <c r="AK39" s="204">
        <f t="shared" si="83"/>
        <v>74.497562299999998</v>
      </c>
      <c r="AL39" s="228">
        <f t="shared" si="84"/>
        <v>498.76001691504518</v>
      </c>
      <c r="AM39" s="229"/>
      <c r="AN39" s="230"/>
      <c r="AO39" s="206"/>
      <c r="AP39" s="231"/>
      <c r="AQ39" s="203"/>
      <c r="AR39" s="232">
        <v>0</v>
      </c>
      <c r="AS39" s="233">
        <v>0</v>
      </c>
      <c r="AT39" s="234">
        <f t="shared" si="71"/>
        <v>97.894299999999987</v>
      </c>
      <c r="AU39" s="235">
        <f t="shared" si="72"/>
        <v>655.40081066365985</v>
      </c>
      <c r="AV39" s="235">
        <f t="shared" si="73"/>
        <v>655.40081066365985</v>
      </c>
      <c r="AW39" s="236"/>
      <c r="AX39" s="232">
        <v>0</v>
      </c>
      <c r="AY39" s="233">
        <v>0</v>
      </c>
      <c r="AZ39" s="234">
        <f t="shared" si="74"/>
        <v>97.894299999999987</v>
      </c>
      <c r="BA39" s="235">
        <f t="shared" si="75"/>
        <v>655.40081066365985</v>
      </c>
      <c r="BB39" s="235">
        <f t="shared" si="76"/>
        <v>655.40081066365985</v>
      </c>
      <c r="BC39" s="236"/>
      <c r="BD39" s="232">
        <v>0</v>
      </c>
      <c r="BE39" s="233">
        <v>0</v>
      </c>
      <c r="BF39" s="234">
        <f t="shared" si="77"/>
        <v>97.894299999999987</v>
      </c>
      <c r="BG39" s="235">
        <f t="shared" si="78"/>
        <v>655.40081066365985</v>
      </c>
      <c r="BH39" s="235">
        <f t="shared" si="79"/>
        <v>655.40081066365985</v>
      </c>
      <c r="BI39" s="236"/>
      <c r="BJ39" s="232">
        <v>0</v>
      </c>
      <c r="BK39" s="233">
        <v>0</v>
      </c>
      <c r="BL39" s="234">
        <f t="shared" si="80"/>
        <v>97.894299999999987</v>
      </c>
      <c r="BM39" s="235">
        <f t="shared" si="81"/>
        <v>655.40081066365985</v>
      </c>
      <c r="BN39" s="235">
        <f t="shared" si="82"/>
        <v>655.40081066365985</v>
      </c>
      <c r="BO39" s="236"/>
      <c r="BP39" s="239">
        <f t="shared" si="65"/>
        <v>-38.69</v>
      </c>
      <c r="BQ39" s="237"/>
      <c r="BR39" s="238"/>
      <c r="BS39" s="239" t="s">
        <v>114</v>
      </c>
      <c r="BT39" s="239" t="s">
        <v>114</v>
      </c>
      <c r="BU39" s="221" t="s">
        <v>114</v>
      </c>
      <c r="BV39" s="237"/>
      <c r="BW39" s="237"/>
      <c r="BX39" s="238"/>
      <c r="BY39" s="239" t="s">
        <v>114</v>
      </c>
      <c r="BZ39" s="239" t="s">
        <v>114</v>
      </c>
      <c r="CA39" s="221" t="s">
        <v>114</v>
      </c>
    </row>
    <row r="40" spans="2:79" x14ac:dyDescent="0.25">
      <c r="B40" s="164">
        <v>41640</v>
      </c>
      <c r="C40" s="165">
        <v>31</v>
      </c>
      <c r="D40" s="172">
        <v>94.86</v>
      </c>
      <c r="E40" s="167">
        <v>1.0942000000000001</v>
      </c>
      <c r="F40" s="168">
        <v>-13.07</v>
      </c>
      <c r="G40" s="130">
        <v>-0.57999999999999996</v>
      </c>
      <c r="H40" s="170">
        <f t="shared" si="66"/>
        <v>81.705766950641234</v>
      </c>
      <c r="I40" s="168">
        <f t="shared" si="67"/>
        <v>562.59799677365993</v>
      </c>
      <c r="J40" s="168">
        <f t="shared" si="55"/>
        <v>563.17799677365997</v>
      </c>
      <c r="K40" s="171">
        <f t="shared" si="56"/>
        <v>0.86221800548176253</v>
      </c>
      <c r="L40" s="172">
        <f t="shared" si="68"/>
        <v>16.420000000000002</v>
      </c>
      <c r="M40" s="168">
        <v>3.35</v>
      </c>
      <c r="N40" s="168">
        <f t="shared" si="57"/>
        <v>95.330101088303266</v>
      </c>
      <c r="O40" s="174">
        <f t="shared" si="58"/>
        <v>656.41050694633986</v>
      </c>
      <c r="P40" s="174">
        <f t="shared" si="59"/>
        <v>676.24050694633991</v>
      </c>
      <c r="Q40" s="175">
        <f t="shared" si="60"/>
        <v>1.035315201349357</v>
      </c>
      <c r="R40" s="176"/>
      <c r="S40" s="177"/>
      <c r="T40" s="178">
        <f t="shared" si="61"/>
        <v>633.34355146044004</v>
      </c>
      <c r="U40" s="178">
        <f t="shared" si="62"/>
        <v>653.17355146044008</v>
      </c>
      <c r="V40" s="177"/>
      <c r="W40" s="176"/>
      <c r="X40" s="179">
        <v>-19.829999999999998</v>
      </c>
      <c r="Y40" s="180">
        <v>0.49</v>
      </c>
      <c r="Z40" s="181"/>
      <c r="AA40" s="182">
        <v>-29.17</v>
      </c>
      <c r="AB40" s="182">
        <f t="shared" si="69"/>
        <v>452.09898653937904</v>
      </c>
      <c r="AC40" s="183">
        <f t="shared" si="70"/>
        <v>65.69</v>
      </c>
      <c r="AD40" s="184"/>
      <c r="AE40" s="184"/>
      <c r="AF40" s="184"/>
      <c r="AG40" s="185">
        <f t="shared" si="63"/>
        <v>32.520000000000003</v>
      </c>
      <c r="AH40" s="186">
        <f t="shared" si="64"/>
        <v>0.69249420198186795</v>
      </c>
      <c r="AI40" s="187"/>
      <c r="AJ40" s="242"/>
      <c r="AK40" s="127"/>
      <c r="AL40" s="190"/>
      <c r="AM40" s="191"/>
      <c r="AN40" s="192"/>
      <c r="AO40" s="168"/>
      <c r="AP40" s="193"/>
      <c r="AQ40" s="165"/>
      <c r="AR40" s="194">
        <v>0</v>
      </c>
      <c r="AS40" s="156">
        <v>0</v>
      </c>
      <c r="AT40" s="196">
        <f t="shared" si="71"/>
        <v>94.859999999999985</v>
      </c>
      <c r="AU40" s="197">
        <f t="shared" si="72"/>
        <v>653.17355146043997</v>
      </c>
      <c r="AV40" s="197">
        <f t="shared" si="73"/>
        <v>653.17355146043997</v>
      </c>
      <c r="AW40" s="198"/>
      <c r="AX40" s="194">
        <v>0</v>
      </c>
      <c r="AY40" s="156">
        <v>0</v>
      </c>
      <c r="AZ40" s="196">
        <f t="shared" si="74"/>
        <v>94.859999999999985</v>
      </c>
      <c r="BA40" s="197">
        <f t="shared" si="75"/>
        <v>653.17355146043997</v>
      </c>
      <c r="BB40" s="197">
        <f t="shared" si="76"/>
        <v>653.17355146043997</v>
      </c>
      <c r="BC40" s="198"/>
      <c r="BD40" s="194">
        <v>0</v>
      </c>
      <c r="BE40" s="156">
        <v>0</v>
      </c>
      <c r="BF40" s="196">
        <f t="shared" si="77"/>
        <v>94.859999999999985</v>
      </c>
      <c r="BG40" s="197">
        <f t="shared" si="78"/>
        <v>653.17355146043997</v>
      </c>
      <c r="BH40" s="197">
        <f t="shared" si="79"/>
        <v>653.17355146043997</v>
      </c>
      <c r="BI40" s="198"/>
      <c r="BJ40" s="194">
        <v>0</v>
      </c>
      <c r="BK40" s="156">
        <v>0</v>
      </c>
      <c r="BL40" s="196">
        <f t="shared" si="80"/>
        <v>94.859999999999985</v>
      </c>
      <c r="BM40" s="197">
        <f t="shared" si="81"/>
        <v>653.17355146043997</v>
      </c>
      <c r="BN40" s="197">
        <f t="shared" si="82"/>
        <v>653.17355146043997</v>
      </c>
      <c r="BO40" s="198"/>
      <c r="BP40" s="201">
        <f t="shared" si="65"/>
        <v>-28.92</v>
      </c>
      <c r="BQ40" s="199"/>
      <c r="BR40" s="200"/>
      <c r="BS40" s="201" t="s">
        <v>114</v>
      </c>
      <c r="BT40" s="201" t="s">
        <v>114</v>
      </c>
      <c r="BU40" s="183" t="s">
        <v>114</v>
      </c>
      <c r="BV40" s="199"/>
      <c r="BW40" s="199"/>
      <c r="BX40" s="200"/>
      <c r="BY40" s="201" t="s">
        <v>114</v>
      </c>
      <c r="BZ40" s="201" t="s">
        <v>114</v>
      </c>
      <c r="CA40" s="183" t="s">
        <v>114</v>
      </c>
    </row>
    <row r="41" spans="2:79" x14ac:dyDescent="0.25">
      <c r="B41" s="164">
        <v>41671</v>
      </c>
      <c r="C41" s="165">
        <v>28</v>
      </c>
      <c r="D41" s="172">
        <v>100.68</v>
      </c>
      <c r="E41" s="167">
        <v>1.1054999999999999</v>
      </c>
      <c r="F41" s="168">
        <v>-5.07</v>
      </c>
      <c r="G41" s="169">
        <v>-0.45529999999999998</v>
      </c>
      <c r="H41" s="170">
        <f t="shared" si="66"/>
        <v>95.544552939803225</v>
      </c>
      <c r="I41" s="168">
        <f t="shared" si="67"/>
        <v>664.6812679238501</v>
      </c>
      <c r="J41" s="168">
        <f t="shared" si="55"/>
        <v>665.13656792385007</v>
      </c>
      <c r="K41" s="171">
        <f t="shared" si="56"/>
        <v>0.94964243146603111</v>
      </c>
      <c r="L41" s="172">
        <f t="shared" si="68"/>
        <v>10.220000000000001</v>
      </c>
      <c r="M41" s="168">
        <v>5.15</v>
      </c>
      <c r="N41" s="168">
        <f t="shared" si="57"/>
        <v>102.98031454079218</v>
      </c>
      <c r="O41" s="174">
        <f t="shared" si="58"/>
        <v>716.41013468655001</v>
      </c>
      <c r="P41" s="174">
        <f t="shared" si="59"/>
        <v>736.23473468655004</v>
      </c>
      <c r="Q41" s="175">
        <f t="shared" si="60"/>
        <v>1.0511521652761224</v>
      </c>
      <c r="R41" s="176"/>
      <c r="S41" s="177"/>
      <c r="T41" s="178">
        <f t="shared" si="61"/>
        <v>680.58278059379995</v>
      </c>
      <c r="U41" s="178">
        <f t="shared" si="62"/>
        <v>700.40738059379999</v>
      </c>
      <c r="V41" s="177"/>
      <c r="W41" s="176"/>
      <c r="X41" s="179">
        <v>-19.8246</v>
      </c>
      <c r="Y41" s="180">
        <v>0.36</v>
      </c>
      <c r="Z41" s="181"/>
      <c r="AA41" s="182">
        <v>-19.14</v>
      </c>
      <c r="AB41" s="182">
        <f t="shared" si="69"/>
        <v>566.97905430193498</v>
      </c>
      <c r="AC41" s="183">
        <f t="shared" si="70"/>
        <v>81.540000000000006</v>
      </c>
      <c r="AD41" s="184"/>
      <c r="AE41" s="184"/>
      <c r="AF41" s="184"/>
      <c r="AG41" s="185">
        <f t="shared" si="63"/>
        <v>24.29</v>
      </c>
      <c r="AH41" s="186">
        <f t="shared" si="64"/>
        <v>0.80989272943980928</v>
      </c>
      <c r="AI41" s="187"/>
      <c r="AJ41" s="242"/>
      <c r="AK41" s="166"/>
      <c r="AL41" s="190"/>
      <c r="AM41" s="191"/>
      <c r="AN41" s="192"/>
      <c r="AO41" s="168"/>
      <c r="AP41" s="193"/>
      <c r="AQ41" s="165"/>
      <c r="AR41" s="194">
        <v>0</v>
      </c>
      <c r="AS41" s="195">
        <v>0</v>
      </c>
      <c r="AT41" s="196">
        <f t="shared" si="71"/>
        <v>100.68</v>
      </c>
      <c r="AU41" s="197">
        <f t="shared" si="72"/>
        <v>700.40738059379999</v>
      </c>
      <c r="AV41" s="197">
        <f t="shared" si="73"/>
        <v>700.40738059379999</v>
      </c>
      <c r="AW41" s="198"/>
      <c r="AX41" s="194">
        <v>0</v>
      </c>
      <c r="AY41" s="195">
        <v>0</v>
      </c>
      <c r="AZ41" s="196">
        <f t="shared" si="74"/>
        <v>100.68</v>
      </c>
      <c r="BA41" s="197">
        <f t="shared" si="75"/>
        <v>700.40738059379999</v>
      </c>
      <c r="BB41" s="197">
        <f t="shared" si="76"/>
        <v>700.40738059379999</v>
      </c>
      <c r="BC41" s="198"/>
      <c r="BD41" s="194">
        <v>0</v>
      </c>
      <c r="BE41" s="195">
        <v>0</v>
      </c>
      <c r="BF41" s="196">
        <f t="shared" si="77"/>
        <v>100.68</v>
      </c>
      <c r="BG41" s="197">
        <f t="shared" si="78"/>
        <v>700.40738059379999</v>
      </c>
      <c r="BH41" s="197">
        <f t="shared" si="79"/>
        <v>700.40738059379999</v>
      </c>
      <c r="BI41" s="198"/>
      <c r="BJ41" s="194">
        <v>0</v>
      </c>
      <c r="BK41" s="195">
        <v>0</v>
      </c>
      <c r="BL41" s="196">
        <f t="shared" si="80"/>
        <v>100.68</v>
      </c>
      <c r="BM41" s="197">
        <f t="shared" si="81"/>
        <v>700.40738059379999</v>
      </c>
      <c r="BN41" s="197">
        <f t="shared" si="82"/>
        <v>700.40738059379999</v>
      </c>
      <c r="BO41" s="198"/>
      <c r="BP41" s="201">
        <f t="shared" si="65"/>
        <v>-18.89</v>
      </c>
      <c r="BQ41" s="199"/>
      <c r="BR41" s="200"/>
      <c r="BS41" s="201" t="s">
        <v>114</v>
      </c>
      <c r="BT41" s="201" t="s">
        <v>114</v>
      </c>
      <c r="BU41" s="183" t="s">
        <v>114</v>
      </c>
      <c r="BV41" s="199"/>
      <c r="BW41" s="199"/>
      <c r="BX41" s="200"/>
      <c r="BY41" s="201" t="s">
        <v>114</v>
      </c>
      <c r="BZ41" s="201" t="s">
        <v>114</v>
      </c>
      <c r="CA41" s="183" t="s">
        <v>114</v>
      </c>
    </row>
    <row r="42" spans="2:79" x14ac:dyDescent="0.25">
      <c r="B42" s="164">
        <v>41699</v>
      </c>
      <c r="C42" s="165">
        <v>31</v>
      </c>
      <c r="D42" s="172">
        <v>100.51</v>
      </c>
      <c r="E42" s="167">
        <v>1.1107</v>
      </c>
      <c r="F42" s="168">
        <v>-6.6</v>
      </c>
      <c r="G42" s="169">
        <v>-0.70589999999999997</v>
      </c>
      <c r="H42" s="170">
        <f t="shared" si="66"/>
        <v>93.809005517084245</v>
      </c>
      <c r="I42" s="168">
        <f t="shared" si="67"/>
        <v>655.67717248219003</v>
      </c>
      <c r="J42" s="168">
        <f t="shared" si="55"/>
        <v>656.38307248219007</v>
      </c>
      <c r="K42" s="171">
        <f t="shared" si="56"/>
        <v>0.93433489205054232</v>
      </c>
      <c r="L42" s="172">
        <f t="shared" si="68"/>
        <v>9.9699999999999989</v>
      </c>
      <c r="M42" s="168">
        <v>3.37</v>
      </c>
      <c r="N42" s="168">
        <f t="shared" si="57"/>
        <v>102.2571922058077</v>
      </c>
      <c r="O42" s="174">
        <f t="shared" si="58"/>
        <v>714.72569485092015</v>
      </c>
      <c r="P42" s="174">
        <f t="shared" si="59"/>
        <v>726.0682948509201</v>
      </c>
      <c r="Q42" s="175">
        <f t="shared" si="60"/>
        <v>1.0335290020893444</v>
      </c>
      <c r="R42" s="176"/>
      <c r="S42" s="177"/>
      <c r="T42" s="178">
        <f t="shared" si="61"/>
        <v>691.17111116159003</v>
      </c>
      <c r="U42" s="178">
        <f t="shared" si="62"/>
        <v>702.51371116158998</v>
      </c>
      <c r="V42" s="177"/>
      <c r="W42" s="176"/>
      <c r="X42" s="179">
        <v>-11.342599999999999</v>
      </c>
      <c r="Y42" s="180">
        <v>0.37</v>
      </c>
      <c r="Z42" s="181"/>
      <c r="AA42" s="182">
        <v>-21.09</v>
      </c>
      <c r="AB42" s="182">
        <f t="shared" si="69"/>
        <v>554.83546812503698</v>
      </c>
      <c r="AC42" s="183">
        <f t="shared" si="70"/>
        <v>79.42</v>
      </c>
      <c r="AD42" s="184"/>
      <c r="AE42" s="184"/>
      <c r="AF42" s="184"/>
      <c r="AG42" s="185">
        <f t="shared" si="63"/>
        <v>24.46</v>
      </c>
      <c r="AH42" s="186">
        <f t="shared" si="64"/>
        <v>0.79017013232514177</v>
      </c>
      <c r="AI42" s="187"/>
      <c r="AJ42" s="242"/>
      <c r="AK42" s="166"/>
      <c r="AL42" s="190"/>
      <c r="AM42" s="191"/>
      <c r="AN42" s="192"/>
      <c r="AO42" s="168"/>
      <c r="AP42" s="193"/>
      <c r="AQ42" s="165"/>
      <c r="AR42" s="194">
        <v>0</v>
      </c>
      <c r="AS42" s="195">
        <v>0</v>
      </c>
      <c r="AT42" s="196">
        <f t="shared" si="71"/>
        <v>100.50999999999999</v>
      </c>
      <c r="AU42" s="197">
        <f t="shared" si="72"/>
        <v>702.51371116158998</v>
      </c>
      <c r="AV42" s="197">
        <f t="shared" si="73"/>
        <v>702.51371116158998</v>
      </c>
      <c r="AW42" s="198"/>
      <c r="AX42" s="194">
        <v>0</v>
      </c>
      <c r="AY42" s="195">
        <v>0</v>
      </c>
      <c r="AZ42" s="196">
        <f t="shared" si="74"/>
        <v>100.50999999999999</v>
      </c>
      <c r="BA42" s="197">
        <f t="shared" si="75"/>
        <v>702.51371116158998</v>
      </c>
      <c r="BB42" s="197">
        <f t="shared" si="76"/>
        <v>702.51371116158998</v>
      </c>
      <c r="BC42" s="198"/>
      <c r="BD42" s="194">
        <v>0</v>
      </c>
      <c r="BE42" s="195">
        <v>0</v>
      </c>
      <c r="BF42" s="196">
        <f t="shared" si="77"/>
        <v>100.50999999999999</v>
      </c>
      <c r="BG42" s="197">
        <f t="shared" si="78"/>
        <v>702.51371116158998</v>
      </c>
      <c r="BH42" s="197">
        <f t="shared" si="79"/>
        <v>702.51371116158998</v>
      </c>
      <c r="BI42" s="198"/>
      <c r="BJ42" s="194">
        <v>0</v>
      </c>
      <c r="BK42" s="195">
        <v>0</v>
      </c>
      <c r="BL42" s="196">
        <f t="shared" si="80"/>
        <v>100.50999999999999</v>
      </c>
      <c r="BM42" s="197">
        <f t="shared" si="81"/>
        <v>702.51371116158998</v>
      </c>
      <c r="BN42" s="197">
        <f t="shared" si="82"/>
        <v>702.51371116158998</v>
      </c>
      <c r="BO42" s="198"/>
      <c r="BP42" s="201">
        <f t="shared" si="65"/>
        <v>-20.84</v>
      </c>
      <c r="BQ42" s="199"/>
      <c r="BR42" s="200"/>
      <c r="BS42" s="201" t="s">
        <v>114</v>
      </c>
      <c r="BT42" s="201" t="s">
        <v>114</v>
      </c>
      <c r="BU42" s="183" t="s">
        <v>114</v>
      </c>
      <c r="BV42" s="199"/>
      <c r="BW42" s="199"/>
      <c r="BX42" s="200"/>
      <c r="BY42" s="201" t="s">
        <v>114</v>
      </c>
      <c r="BZ42" s="201" t="s">
        <v>114</v>
      </c>
      <c r="CA42" s="183" t="s">
        <v>114</v>
      </c>
    </row>
    <row r="43" spans="2:79" x14ac:dyDescent="0.25">
      <c r="B43" s="164">
        <v>41730</v>
      </c>
      <c r="C43" s="165">
        <v>30</v>
      </c>
      <c r="D43" s="172">
        <v>102.03</v>
      </c>
      <c r="E43" s="167">
        <v>1.0991</v>
      </c>
      <c r="F43" s="168">
        <v>-8.32</v>
      </c>
      <c r="G43" s="169">
        <v>-0.56520000000000004</v>
      </c>
      <c r="H43" s="170">
        <f t="shared" si="66"/>
        <v>93.628282290472399</v>
      </c>
      <c r="I43" s="168">
        <f t="shared" si="67"/>
        <v>647.57939810707001</v>
      </c>
      <c r="J43" s="168">
        <f t="shared" si="55"/>
        <v>648.14459810707001</v>
      </c>
      <c r="K43" s="171">
        <f t="shared" si="56"/>
        <v>0.91845535626776442</v>
      </c>
      <c r="L43" s="172">
        <f t="shared" si="68"/>
        <v>10.23</v>
      </c>
      <c r="M43" s="168">
        <v>1.91</v>
      </c>
      <c r="N43" s="168">
        <f t="shared" si="57"/>
        <v>102.06352890149508</v>
      </c>
      <c r="O43" s="174">
        <f t="shared" si="58"/>
        <v>705.92172576297992</v>
      </c>
      <c r="P43" s="174">
        <f t="shared" si="59"/>
        <v>718.90032576297995</v>
      </c>
      <c r="Q43" s="175">
        <f t="shared" si="60"/>
        <v>1.0187199843183377</v>
      </c>
      <c r="R43" s="176"/>
      <c r="S43" s="177"/>
      <c r="T43" s="178">
        <f t="shared" si="61"/>
        <v>692.71122333650987</v>
      </c>
      <c r="U43" s="178">
        <f t="shared" si="62"/>
        <v>705.6898233365099</v>
      </c>
      <c r="V43" s="177"/>
      <c r="W43" s="176"/>
      <c r="X43" s="179">
        <v>-12.9786</v>
      </c>
      <c r="Y43" s="180">
        <v>0.38</v>
      </c>
      <c r="Z43" s="181"/>
      <c r="AA43" s="182">
        <v>-22.47</v>
      </c>
      <c r="AB43" s="182">
        <f t="shared" si="69"/>
        <v>550.00868012695798</v>
      </c>
      <c r="AC43" s="183">
        <f t="shared" si="70"/>
        <v>79.56</v>
      </c>
      <c r="AD43" s="184"/>
      <c r="AE43" s="184"/>
      <c r="AF43" s="184"/>
      <c r="AG43" s="185">
        <f t="shared" si="63"/>
        <v>24.38</v>
      </c>
      <c r="AH43" s="186">
        <f t="shared" si="64"/>
        <v>0.7797706556895031</v>
      </c>
      <c r="AI43" s="187"/>
      <c r="AJ43" s="242"/>
      <c r="AK43" s="166"/>
      <c r="AL43" s="190"/>
      <c r="AM43" s="191"/>
      <c r="AN43" s="192"/>
      <c r="AO43" s="168"/>
      <c r="AP43" s="193"/>
      <c r="AQ43" s="165"/>
      <c r="AR43" s="194">
        <v>0</v>
      </c>
      <c r="AS43" s="195">
        <v>0</v>
      </c>
      <c r="AT43" s="196">
        <f t="shared" si="71"/>
        <v>102.03</v>
      </c>
      <c r="AU43" s="197">
        <f t="shared" si="72"/>
        <v>705.68982333651002</v>
      </c>
      <c r="AV43" s="197">
        <f t="shared" si="73"/>
        <v>705.68982333651002</v>
      </c>
      <c r="AW43" s="198"/>
      <c r="AX43" s="194">
        <v>0</v>
      </c>
      <c r="AY43" s="195">
        <v>0</v>
      </c>
      <c r="AZ43" s="196">
        <f t="shared" si="74"/>
        <v>102.03</v>
      </c>
      <c r="BA43" s="197">
        <f t="shared" si="75"/>
        <v>705.68982333651002</v>
      </c>
      <c r="BB43" s="197">
        <f t="shared" si="76"/>
        <v>705.68982333651002</v>
      </c>
      <c r="BC43" s="198"/>
      <c r="BD43" s="194">
        <v>0</v>
      </c>
      <c r="BE43" s="195">
        <v>0</v>
      </c>
      <c r="BF43" s="196">
        <f t="shared" si="77"/>
        <v>102.03</v>
      </c>
      <c r="BG43" s="197">
        <f t="shared" si="78"/>
        <v>705.68982333651002</v>
      </c>
      <c r="BH43" s="197">
        <f t="shared" si="79"/>
        <v>705.68982333651002</v>
      </c>
      <c r="BI43" s="198"/>
      <c r="BJ43" s="194">
        <v>0</v>
      </c>
      <c r="BK43" s="195">
        <v>0</v>
      </c>
      <c r="BL43" s="196">
        <f t="shared" si="80"/>
        <v>102.03</v>
      </c>
      <c r="BM43" s="197">
        <f t="shared" si="81"/>
        <v>705.68982333651002</v>
      </c>
      <c r="BN43" s="197">
        <f t="shared" si="82"/>
        <v>705.68982333651002</v>
      </c>
      <c r="BO43" s="198"/>
      <c r="BP43" s="201">
        <f t="shared" si="65"/>
        <v>-22.22</v>
      </c>
      <c r="BQ43" s="199"/>
      <c r="BR43" s="200"/>
      <c r="BS43" s="201" t="s">
        <v>114</v>
      </c>
      <c r="BT43" s="201" t="s">
        <v>114</v>
      </c>
      <c r="BU43" s="183" t="s">
        <v>114</v>
      </c>
      <c r="BV43" s="199"/>
      <c r="BW43" s="199"/>
      <c r="BX43" s="200"/>
      <c r="BY43" s="201" t="s">
        <v>114</v>
      </c>
      <c r="BZ43" s="201" t="s">
        <v>114</v>
      </c>
      <c r="CA43" s="183" t="s">
        <v>114</v>
      </c>
    </row>
    <row r="44" spans="2:79" x14ac:dyDescent="0.25">
      <c r="B44" s="164">
        <v>41760</v>
      </c>
      <c r="C44" s="165">
        <v>31</v>
      </c>
      <c r="D44" s="172">
        <v>101.79</v>
      </c>
      <c r="E44" s="167">
        <v>1.0893999999999999</v>
      </c>
      <c r="F44" s="168">
        <v>-4.12</v>
      </c>
      <c r="G44" s="169">
        <v>-0.91659999999999997</v>
      </c>
      <c r="H44" s="170">
        <f t="shared" si="66"/>
        <v>97.536296208810271</v>
      </c>
      <c r="I44" s="168">
        <f t="shared" si="67"/>
        <v>668.65545329325994</v>
      </c>
      <c r="J44" s="168">
        <f t="shared" si="55"/>
        <v>669.57205329325996</v>
      </c>
      <c r="K44" s="171">
        <f t="shared" si="56"/>
        <v>0.95952451124864913</v>
      </c>
      <c r="L44" s="172">
        <f t="shared" si="68"/>
        <v>7.48</v>
      </c>
      <c r="M44" s="168">
        <v>3.36</v>
      </c>
      <c r="N44" s="168">
        <f t="shared" si="57"/>
        <v>103.22223522449694</v>
      </c>
      <c r="O44" s="174">
        <f t="shared" si="58"/>
        <v>707.63513857669989</v>
      </c>
      <c r="P44" s="174">
        <f t="shared" si="59"/>
        <v>720.85083857669986</v>
      </c>
      <c r="Q44" s="175">
        <f t="shared" si="60"/>
        <v>1.0330091364574123</v>
      </c>
      <c r="R44" s="176"/>
      <c r="S44" s="177"/>
      <c r="T44" s="178">
        <f t="shared" si="61"/>
        <v>684.60081791462005</v>
      </c>
      <c r="U44" s="178">
        <f t="shared" si="62"/>
        <v>697.81651791462002</v>
      </c>
      <c r="V44" s="177"/>
      <c r="W44" s="176"/>
      <c r="X44" s="179">
        <v>-13.2157</v>
      </c>
      <c r="Y44" s="180">
        <v>0.34</v>
      </c>
      <c r="Z44" s="181"/>
      <c r="AA44" s="182">
        <v>-19.07</v>
      </c>
      <c r="AB44" s="182">
        <f t="shared" si="69"/>
        <v>566.807329895664</v>
      </c>
      <c r="AC44" s="183">
        <f t="shared" si="70"/>
        <v>82.72</v>
      </c>
      <c r="AD44" s="184"/>
      <c r="AE44" s="184"/>
      <c r="AF44" s="184"/>
      <c r="AG44" s="185">
        <f t="shared" si="63"/>
        <v>22.43</v>
      </c>
      <c r="AH44" s="186">
        <f t="shared" si="64"/>
        <v>0.81265350230867461</v>
      </c>
      <c r="AI44" s="187"/>
      <c r="AJ44" s="242"/>
      <c r="AK44" s="166"/>
      <c r="AL44" s="190"/>
      <c r="AM44" s="191"/>
      <c r="AN44" s="192"/>
      <c r="AO44" s="168"/>
      <c r="AP44" s="193"/>
      <c r="AQ44" s="165"/>
      <c r="AR44" s="194">
        <v>0</v>
      </c>
      <c r="AS44" s="195">
        <v>0</v>
      </c>
      <c r="AT44" s="196">
        <f t="shared" si="71"/>
        <v>101.79</v>
      </c>
      <c r="AU44" s="197">
        <f t="shared" si="72"/>
        <v>697.81651791462002</v>
      </c>
      <c r="AV44" s="197">
        <f t="shared" si="73"/>
        <v>697.81651791462002</v>
      </c>
      <c r="AW44" s="198"/>
      <c r="AX44" s="194">
        <v>0</v>
      </c>
      <c r="AY44" s="195">
        <v>0</v>
      </c>
      <c r="AZ44" s="196">
        <f t="shared" si="74"/>
        <v>101.79</v>
      </c>
      <c r="BA44" s="197">
        <f t="shared" si="75"/>
        <v>697.81651791462002</v>
      </c>
      <c r="BB44" s="197">
        <f t="shared" si="76"/>
        <v>697.81651791462002</v>
      </c>
      <c r="BC44" s="198"/>
      <c r="BD44" s="194">
        <v>0</v>
      </c>
      <c r="BE44" s="195">
        <v>0</v>
      </c>
      <c r="BF44" s="196">
        <f t="shared" si="77"/>
        <v>101.79</v>
      </c>
      <c r="BG44" s="197">
        <f t="shared" si="78"/>
        <v>697.81651791462002</v>
      </c>
      <c r="BH44" s="197">
        <f t="shared" si="79"/>
        <v>697.81651791462002</v>
      </c>
      <c r="BI44" s="198"/>
      <c r="BJ44" s="194">
        <v>0</v>
      </c>
      <c r="BK44" s="195">
        <v>0</v>
      </c>
      <c r="BL44" s="196">
        <f t="shared" si="80"/>
        <v>101.79</v>
      </c>
      <c r="BM44" s="197">
        <f t="shared" si="81"/>
        <v>697.81651791462002</v>
      </c>
      <c r="BN44" s="197">
        <f t="shared" si="82"/>
        <v>697.81651791462002</v>
      </c>
      <c r="BO44" s="198"/>
      <c r="BP44" s="201">
        <f t="shared" si="65"/>
        <v>-18.82</v>
      </c>
      <c r="BQ44" s="199"/>
      <c r="BR44" s="200"/>
      <c r="BS44" s="201" t="s">
        <v>114</v>
      </c>
      <c r="BT44" s="201" t="s">
        <v>114</v>
      </c>
      <c r="BU44" s="183" t="s">
        <v>114</v>
      </c>
      <c r="BV44" s="199"/>
      <c r="BW44" s="199"/>
      <c r="BX44" s="200"/>
      <c r="BY44" s="201" t="s">
        <v>114</v>
      </c>
      <c r="BZ44" s="201" t="s">
        <v>114</v>
      </c>
      <c r="CA44" s="183" t="s">
        <v>114</v>
      </c>
    </row>
    <row r="45" spans="2:79" x14ac:dyDescent="0.25">
      <c r="B45" s="164">
        <v>41791</v>
      </c>
      <c r="C45" s="165">
        <v>30</v>
      </c>
      <c r="D45" s="172">
        <v>105.15</v>
      </c>
      <c r="E45" s="167">
        <v>1.0831</v>
      </c>
      <c r="F45" s="168">
        <v>-5.97</v>
      </c>
      <c r="G45" s="169">
        <v>-0.62860000000000005</v>
      </c>
      <c r="H45" s="170">
        <f t="shared" si="66"/>
        <v>99.087773216852639</v>
      </c>
      <c r="I45" s="168">
        <f t="shared" si="67"/>
        <v>675.36318755245998</v>
      </c>
      <c r="J45" s="168">
        <f t="shared" si="55"/>
        <v>675.99178755245998</v>
      </c>
      <c r="K45" s="171">
        <f t="shared" si="56"/>
        <v>0.94322396576319545</v>
      </c>
      <c r="L45" s="172">
        <f t="shared" si="68"/>
        <v>7.17</v>
      </c>
      <c r="M45" s="168">
        <v>1.2</v>
      </c>
      <c r="N45" s="168">
        <f t="shared" si="57"/>
        <v>104.51422338724983</v>
      </c>
      <c r="O45" s="174">
        <f t="shared" si="58"/>
        <v>712.34882730595007</v>
      </c>
      <c r="P45" s="174">
        <f t="shared" si="59"/>
        <v>724.86112730595005</v>
      </c>
      <c r="Q45" s="175">
        <f t="shared" si="60"/>
        <v>1.0114122681883024</v>
      </c>
      <c r="R45" s="176"/>
      <c r="S45" s="177"/>
      <c r="T45" s="178">
        <f t="shared" si="61"/>
        <v>704.16985830954991</v>
      </c>
      <c r="U45" s="178">
        <f t="shared" si="62"/>
        <v>716.68215830954989</v>
      </c>
      <c r="V45" s="177"/>
      <c r="W45" s="176"/>
      <c r="X45" s="179">
        <v>-12.512299999999998</v>
      </c>
      <c r="Y45" s="180">
        <v>0.28999999999999998</v>
      </c>
      <c r="Z45" s="181"/>
      <c r="AA45" s="182">
        <v>-18.59</v>
      </c>
      <c r="AB45" s="182">
        <f t="shared" si="69"/>
        <v>589.68945922072794</v>
      </c>
      <c r="AC45" s="183">
        <f t="shared" si="70"/>
        <v>86.56</v>
      </c>
      <c r="AD45" s="184"/>
      <c r="AE45" s="184"/>
      <c r="AF45" s="184"/>
      <c r="AG45" s="185">
        <f t="shared" si="63"/>
        <v>19.79</v>
      </c>
      <c r="AH45" s="186">
        <f t="shared" si="64"/>
        <v>0.82320494531621491</v>
      </c>
      <c r="AI45" s="187"/>
      <c r="AJ45" s="242"/>
      <c r="AK45" s="166"/>
      <c r="AL45" s="190"/>
      <c r="AM45" s="191"/>
      <c r="AN45" s="192"/>
      <c r="AO45" s="168"/>
      <c r="AP45" s="193"/>
      <c r="AQ45" s="165"/>
      <c r="AR45" s="194">
        <v>0</v>
      </c>
      <c r="AS45" s="195">
        <v>0</v>
      </c>
      <c r="AT45" s="196">
        <f t="shared" si="71"/>
        <v>105.14999999999999</v>
      </c>
      <c r="AU45" s="197">
        <f t="shared" si="72"/>
        <v>716.68215830954989</v>
      </c>
      <c r="AV45" s="197">
        <f t="shared" si="73"/>
        <v>716.68215830954989</v>
      </c>
      <c r="AW45" s="198"/>
      <c r="AX45" s="194">
        <v>0</v>
      </c>
      <c r="AY45" s="195">
        <v>0</v>
      </c>
      <c r="AZ45" s="196">
        <f t="shared" si="74"/>
        <v>105.14999999999999</v>
      </c>
      <c r="BA45" s="197">
        <f t="shared" si="75"/>
        <v>716.68215830954989</v>
      </c>
      <c r="BB45" s="197">
        <f t="shared" si="76"/>
        <v>716.68215830954989</v>
      </c>
      <c r="BC45" s="198"/>
      <c r="BD45" s="194">
        <v>0</v>
      </c>
      <c r="BE45" s="195">
        <v>0</v>
      </c>
      <c r="BF45" s="196">
        <f t="shared" si="77"/>
        <v>105.14999999999999</v>
      </c>
      <c r="BG45" s="197">
        <f t="shared" si="78"/>
        <v>716.68215830954989</v>
      </c>
      <c r="BH45" s="197">
        <f t="shared" si="79"/>
        <v>716.68215830954989</v>
      </c>
      <c r="BI45" s="198"/>
      <c r="BJ45" s="194">
        <v>0</v>
      </c>
      <c r="BK45" s="195">
        <v>0</v>
      </c>
      <c r="BL45" s="196">
        <f t="shared" si="80"/>
        <v>105.14999999999999</v>
      </c>
      <c r="BM45" s="197">
        <f t="shared" si="81"/>
        <v>716.68215830954989</v>
      </c>
      <c r="BN45" s="197">
        <f t="shared" si="82"/>
        <v>716.68215830954989</v>
      </c>
      <c r="BO45" s="198"/>
      <c r="BP45" s="201">
        <f t="shared" si="65"/>
        <v>-18.34</v>
      </c>
      <c r="BQ45" s="199"/>
      <c r="BR45" s="200"/>
      <c r="BS45" s="201" t="s">
        <v>114</v>
      </c>
      <c r="BT45" s="201" t="s">
        <v>114</v>
      </c>
      <c r="BU45" s="183" t="s">
        <v>114</v>
      </c>
      <c r="BV45" s="199"/>
      <c r="BW45" s="199"/>
      <c r="BX45" s="200"/>
      <c r="BY45" s="201" t="s">
        <v>114</v>
      </c>
      <c r="BZ45" s="201" t="s">
        <v>114</v>
      </c>
      <c r="CA45" s="183" t="s">
        <v>114</v>
      </c>
    </row>
    <row r="46" spans="2:79" x14ac:dyDescent="0.25">
      <c r="B46" s="164">
        <v>41821</v>
      </c>
      <c r="C46" s="165">
        <v>31</v>
      </c>
      <c r="D46" s="172">
        <v>102.39</v>
      </c>
      <c r="E46" s="167">
        <v>1.0739000000000001</v>
      </c>
      <c r="F46" s="168">
        <v>-7.18</v>
      </c>
      <c r="G46" s="169">
        <v>-1.0052000000000001</v>
      </c>
      <c r="H46" s="170">
        <f t="shared" si="66"/>
        <v>95.061255855740285</v>
      </c>
      <c r="I46" s="168">
        <f t="shared" si="67"/>
        <v>642.4157055845302</v>
      </c>
      <c r="J46" s="168">
        <f t="shared" si="55"/>
        <v>643.42090558453015</v>
      </c>
      <c r="K46" s="171">
        <f t="shared" si="56"/>
        <v>0.92987596444965337</v>
      </c>
      <c r="L46" s="172">
        <f t="shared" si="68"/>
        <v>3.88</v>
      </c>
      <c r="M46" s="168">
        <v>-3.3</v>
      </c>
      <c r="N46" s="168">
        <f t="shared" si="57"/>
        <v>96.900714669396237</v>
      </c>
      <c r="O46" s="174">
        <f t="shared" si="58"/>
        <v>654.84660838537002</v>
      </c>
      <c r="P46" s="174">
        <f t="shared" si="59"/>
        <v>669.64160838536998</v>
      </c>
      <c r="Q46" s="175">
        <f t="shared" si="60"/>
        <v>0.96777029006738946</v>
      </c>
      <c r="R46" s="176"/>
      <c r="S46" s="177"/>
      <c r="T46" s="178">
        <f t="shared" si="61"/>
        <v>677.14772159227005</v>
      </c>
      <c r="U46" s="178">
        <f t="shared" si="62"/>
        <v>691.94272159227</v>
      </c>
      <c r="V46" s="177"/>
      <c r="W46" s="176"/>
      <c r="X46" s="179">
        <v>-14.795</v>
      </c>
      <c r="Y46" s="180">
        <v>0.24</v>
      </c>
      <c r="Z46" s="181"/>
      <c r="AA46" s="182">
        <v>-19.66</v>
      </c>
      <c r="AB46" s="182">
        <f t="shared" si="69"/>
        <v>558.81033273994353</v>
      </c>
      <c r="AC46" s="183">
        <f t="shared" si="70"/>
        <v>82.73</v>
      </c>
      <c r="AD46" s="184"/>
      <c r="AE46" s="184"/>
      <c r="AF46" s="184"/>
      <c r="AG46" s="185">
        <f t="shared" si="63"/>
        <v>16.36</v>
      </c>
      <c r="AH46" s="186">
        <f t="shared" si="64"/>
        <v>0.80798906143178051</v>
      </c>
      <c r="AI46" s="187"/>
      <c r="AJ46" s="242"/>
      <c r="AK46" s="166"/>
      <c r="AL46" s="190"/>
      <c r="AM46" s="191"/>
      <c r="AN46" s="192"/>
      <c r="AO46" s="168"/>
      <c r="AP46" s="193"/>
      <c r="AQ46" s="165"/>
      <c r="AR46" s="194">
        <v>0</v>
      </c>
      <c r="AS46" s="195">
        <v>0</v>
      </c>
      <c r="AT46" s="196">
        <f t="shared" si="71"/>
        <v>102.39</v>
      </c>
      <c r="AU46" s="197">
        <f t="shared" si="72"/>
        <v>691.94272159227</v>
      </c>
      <c r="AV46" s="197">
        <f t="shared" si="73"/>
        <v>691.94272159227</v>
      </c>
      <c r="AW46" s="198"/>
      <c r="AX46" s="194">
        <v>0</v>
      </c>
      <c r="AY46" s="195">
        <v>0</v>
      </c>
      <c r="AZ46" s="196">
        <f t="shared" si="74"/>
        <v>102.39</v>
      </c>
      <c r="BA46" s="197">
        <f t="shared" si="75"/>
        <v>691.94272159227</v>
      </c>
      <c r="BB46" s="197">
        <f t="shared" si="76"/>
        <v>691.94272159227</v>
      </c>
      <c r="BC46" s="198"/>
      <c r="BD46" s="194">
        <v>0</v>
      </c>
      <c r="BE46" s="195">
        <v>0</v>
      </c>
      <c r="BF46" s="196">
        <f t="shared" si="77"/>
        <v>102.39</v>
      </c>
      <c r="BG46" s="197">
        <f t="shared" si="78"/>
        <v>691.94272159227</v>
      </c>
      <c r="BH46" s="197">
        <f t="shared" si="79"/>
        <v>691.94272159227</v>
      </c>
      <c r="BI46" s="198"/>
      <c r="BJ46" s="194">
        <v>0</v>
      </c>
      <c r="BK46" s="195">
        <v>0</v>
      </c>
      <c r="BL46" s="196">
        <f t="shared" si="80"/>
        <v>102.39</v>
      </c>
      <c r="BM46" s="197">
        <f t="shared" si="81"/>
        <v>691.94272159227</v>
      </c>
      <c r="BN46" s="197">
        <f t="shared" si="82"/>
        <v>691.94272159227</v>
      </c>
      <c r="BO46" s="198"/>
      <c r="BP46" s="201">
        <f t="shared" si="65"/>
        <v>-19.41</v>
      </c>
      <c r="BQ46" s="199"/>
      <c r="BR46" s="200"/>
      <c r="BS46" s="201" t="s">
        <v>114</v>
      </c>
      <c r="BT46" s="201" t="s">
        <v>114</v>
      </c>
      <c r="BU46" s="183" t="s">
        <v>114</v>
      </c>
      <c r="BV46" s="199"/>
      <c r="BW46" s="199"/>
      <c r="BX46" s="200"/>
      <c r="BY46" s="201" t="s">
        <v>114</v>
      </c>
      <c r="BZ46" s="201" t="s">
        <v>114</v>
      </c>
      <c r="CA46" s="183" t="s">
        <v>114</v>
      </c>
    </row>
    <row r="47" spans="2:79" x14ac:dyDescent="0.25">
      <c r="B47" s="164">
        <v>41852</v>
      </c>
      <c r="C47" s="165">
        <v>31</v>
      </c>
      <c r="D47" s="172">
        <v>96.08</v>
      </c>
      <c r="E47" s="167">
        <v>1.0927</v>
      </c>
      <c r="F47" s="168">
        <v>-8.5399999999999991</v>
      </c>
      <c r="G47" s="169">
        <v>-1.137</v>
      </c>
      <c r="H47" s="170">
        <f t="shared" si="66"/>
        <v>87.37464750149789</v>
      </c>
      <c r="I47" s="168">
        <f t="shared" si="67"/>
        <v>600.80721554946001</v>
      </c>
      <c r="J47" s="168">
        <f t="shared" si="55"/>
        <v>601.94421554945995</v>
      </c>
      <c r="K47" s="171">
        <f t="shared" si="56"/>
        <v>0.91111573688592828</v>
      </c>
      <c r="L47" s="172">
        <f t="shared" si="68"/>
        <v>4.2499999999999991</v>
      </c>
      <c r="M47" s="168">
        <v>-4.29</v>
      </c>
      <c r="N47" s="168">
        <f t="shared" si="57"/>
        <v>90.376781495651571</v>
      </c>
      <c r="O47" s="174">
        <f t="shared" si="58"/>
        <v>621.45054650770999</v>
      </c>
      <c r="P47" s="174">
        <f t="shared" si="59"/>
        <v>631.16814650770993</v>
      </c>
      <c r="Q47" s="175">
        <f t="shared" si="60"/>
        <v>0.9553497085761864</v>
      </c>
      <c r="R47" s="176"/>
      <c r="S47" s="177"/>
      <c r="T47" s="178">
        <f t="shared" si="61"/>
        <v>650.94952622792005</v>
      </c>
      <c r="U47" s="178">
        <f t="shared" si="62"/>
        <v>660.66712622791999</v>
      </c>
      <c r="V47" s="177"/>
      <c r="W47" s="176"/>
      <c r="X47" s="179">
        <v>-9.7175999999999991</v>
      </c>
      <c r="Y47" s="180">
        <v>0.28000000000000003</v>
      </c>
      <c r="Z47" s="181"/>
      <c r="AA47" s="182">
        <v>-22.19</v>
      </c>
      <c r="AB47" s="182">
        <f t="shared" si="69"/>
        <v>507.8368027152315</v>
      </c>
      <c r="AC47" s="183">
        <f t="shared" si="70"/>
        <v>73.89</v>
      </c>
      <c r="AD47" s="184"/>
      <c r="AE47" s="184"/>
      <c r="AF47" s="184"/>
      <c r="AG47" s="185">
        <f t="shared" si="63"/>
        <v>17.900000000000002</v>
      </c>
      <c r="AH47" s="186">
        <f t="shared" si="64"/>
        <v>0.7690466278101582</v>
      </c>
      <c r="AI47" s="187"/>
      <c r="AJ47" s="242"/>
      <c r="AK47" s="166"/>
      <c r="AL47" s="190"/>
      <c r="AM47" s="191"/>
      <c r="AN47" s="192"/>
      <c r="AO47" s="168"/>
      <c r="AP47" s="193"/>
      <c r="AQ47" s="165"/>
      <c r="AR47" s="194">
        <v>0</v>
      </c>
      <c r="AS47" s="195">
        <v>0</v>
      </c>
      <c r="AT47" s="196">
        <f t="shared" si="71"/>
        <v>96.080000000000013</v>
      </c>
      <c r="AU47" s="197">
        <f t="shared" si="72"/>
        <v>660.66712622791999</v>
      </c>
      <c r="AV47" s="197">
        <f t="shared" si="73"/>
        <v>660.66712622791999</v>
      </c>
      <c r="AW47" s="198"/>
      <c r="AX47" s="194">
        <v>0</v>
      </c>
      <c r="AY47" s="195">
        <v>0</v>
      </c>
      <c r="AZ47" s="196">
        <f t="shared" si="74"/>
        <v>96.080000000000013</v>
      </c>
      <c r="BA47" s="197">
        <f t="shared" si="75"/>
        <v>660.66712622791999</v>
      </c>
      <c r="BB47" s="197">
        <f t="shared" si="76"/>
        <v>660.66712622791999</v>
      </c>
      <c r="BC47" s="198"/>
      <c r="BD47" s="194">
        <v>0</v>
      </c>
      <c r="BE47" s="195">
        <v>0</v>
      </c>
      <c r="BF47" s="196">
        <f t="shared" si="77"/>
        <v>96.080000000000013</v>
      </c>
      <c r="BG47" s="197">
        <f t="shared" si="78"/>
        <v>660.66712622791999</v>
      </c>
      <c r="BH47" s="197">
        <f t="shared" si="79"/>
        <v>660.66712622791999</v>
      </c>
      <c r="BI47" s="198"/>
      <c r="BJ47" s="194">
        <v>0</v>
      </c>
      <c r="BK47" s="195">
        <v>0</v>
      </c>
      <c r="BL47" s="196">
        <f t="shared" si="80"/>
        <v>96.080000000000013</v>
      </c>
      <c r="BM47" s="197">
        <f t="shared" si="81"/>
        <v>660.66712622791999</v>
      </c>
      <c r="BN47" s="197">
        <f t="shared" si="82"/>
        <v>660.66712622791999</v>
      </c>
      <c r="BO47" s="198"/>
      <c r="BP47" s="201">
        <f t="shared" si="65"/>
        <v>-21.94</v>
      </c>
      <c r="BQ47" s="199"/>
      <c r="BR47" s="200"/>
      <c r="BS47" s="201" t="s">
        <v>114</v>
      </c>
      <c r="BT47" s="201" t="s">
        <v>114</v>
      </c>
      <c r="BU47" s="183" t="s">
        <v>114</v>
      </c>
      <c r="BV47" s="199"/>
      <c r="BW47" s="199"/>
      <c r="BX47" s="200"/>
      <c r="BY47" s="201" t="s">
        <v>114</v>
      </c>
      <c r="BZ47" s="201" t="s">
        <v>114</v>
      </c>
      <c r="CA47" s="183" t="s">
        <v>114</v>
      </c>
    </row>
    <row r="48" spans="2:79" x14ac:dyDescent="0.25">
      <c r="B48" s="164">
        <v>41883</v>
      </c>
      <c r="C48" s="165">
        <v>30</v>
      </c>
      <c r="D48" s="172">
        <v>93.03</v>
      </c>
      <c r="E48" s="167">
        <v>1.1012</v>
      </c>
      <c r="F48" s="168">
        <v>-8.06</v>
      </c>
      <c r="G48" s="169">
        <v>-1.1469</v>
      </c>
      <c r="H48" s="170">
        <f t="shared" si="66"/>
        <v>84.804495201454998</v>
      </c>
      <c r="I48" s="168">
        <f t="shared" si="67"/>
        <v>587.67042648668007</v>
      </c>
      <c r="J48" s="168">
        <f t="shared" si="55"/>
        <v>588.81732648668003</v>
      </c>
      <c r="K48" s="171">
        <f t="shared" si="56"/>
        <v>0.91336128130710525</v>
      </c>
      <c r="L48" s="172">
        <f t="shared" si="68"/>
        <v>4.49</v>
      </c>
      <c r="M48" s="168">
        <v>-3.57</v>
      </c>
      <c r="N48" s="168">
        <f t="shared" si="57"/>
        <v>87.764871829034789</v>
      </c>
      <c r="O48" s="174">
        <f t="shared" si="58"/>
        <v>608.18497340023998</v>
      </c>
      <c r="P48" s="174">
        <f t="shared" si="59"/>
        <v>619.93171740024002</v>
      </c>
      <c r="Q48" s="175">
        <f t="shared" si="60"/>
        <v>0.96162528216704302</v>
      </c>
      <c r="R48" s="176"/>
      <c r="S48" s="177"/>
      <c r="T48" s="178">
        <f t="shared" si="61"/>
        <v>632.92403254531996</v>
      </c>
      <c r="U48" s="178">
        <f t="shared" si="62"/>
        <v>644.67077654532</v>
      </c>
      <c r="V48" s="177"/>
      <c r="W48" s="176"/>
      <c r="X48" s="179">
        <v>-11.746744</v>
      </c>
      <c r="Y48" s="180">
        <v>0.23</v>
      </c>
      <c r="Z48" s="181"/>
      <c r="AA48" s="182">
        <v>-18.68</v>
      </c>
      <c r="AB48" s="182">
        <f t="shared" si="69"/>
        <v>514.97332863530994</v>
      </c>
      <c r="AC48" s="183">
        <f t="shared" si="70"/>
        <v>74.349999999999994</v>
      </c>
      <c r="AD48" s="184"/>
      <c r="AE48" s="184"/>
      <c r="AF48" s="184"/>
      <c r="AG48" s="185">
        <f t="shared" si="63"/>
        <v>15.11</v>
      </c>
      <c r="AH48" s="186">
        <f t="shared" si="64"/>
        <v>0.79920455766956888</v>
      </c>
      <c r="AI48" s="187"/>
      <c r="AJ48" s="242"/>
      <c r="AK48" s="166"/>
      <c r="AL48" s="190"/>
      <c r="AM48" s="191"/>
      <c r="AN48" s="192"/>
      <c r="AO48" s="168"/>
      <c r="AP48" s="193"/>
      <c r="AQ48" s="165"/>
      <c r="AR48" s="194">
        <v>0</v>
      </c>
      <c r="AS48" s="195">
        <v>0</v>
      </c>
      <c r="AT48" s="196">
        <f t="shared" si="71"/>
        <v>93.030000000000015</v>
      </c>
      <c r="AU48" s="197">
        <f t="shared" si="72"/>
        <v>644.67077654532</v>
      </c>
      <c r="AV48" s="197">
        <f t="shared" si="73"/>
        <v>644.67077654532</v>
      </c>
      <c r="AW48" s="198"/>
      <c r="AX48" s="194">
        <v>0</v>
      </c>
      <c r="AY48" s="195">
        <v>0</v>
      </c>
      <c r="AZ48" s="196">
        <f t="shared" si="74"/>
        <v>93.030000000000015</v>
      </c>
      <c r="BA48" s="197">
        <f t="shared" si="75"/>
        <v>644.67077654532</v>
      </c>
      <c r="BB48" s="197">
        <f t="shared" si="76"/>
        <v>644.67077654532</v>
      </c>
      <c r="BC48" s="198"/>
      <c r="BD48" s="194">
        <v>0</v>
      </c>
      <c r="BE48" s="195">
        <v>0</v>
      </c>
      <c r="BF48" s="196">
        <f t="shared" si="77"/>
        <v>93.030000000000015</v>
      </c>
      <c r="BG48" s="197">
        <f t="shared" si="78"/>
        <v>644.67077654532</v>
      </c>
      <c r="BH48" s="197">
        <f t="shared" si="79"/>
        <v>644.67077654532</v>
      </c>
      <c r="BI48" s="198"/>
      <c r="BJ48" s="194">
        <v>0</v>
      </c>
      <c r="BK48" s="195">
        <v>0</v>
      </c>
      <c r="BL48" s="196">
        <f t="shared" si="80"/>
        <v>93.030000000000015</v>
      </c>
      <c r="BM48" s="197">
        <f t="shared" si="81"/>
        <v>644.67077654532</v>
      </c>
      <c r="BN48" s="197">
        <f t="shared" si="82"/>
        <v>644.67077654532</v>
      </c>
      <c r="BO48" s="198"/>
      <c r="BP48" s="201">
        <f t="shared" si="65"/>
        <v>-18.43</v>
      </c>
      <c r="BQ48" s="199"/>
      <c r="BR48" s="200"/>
      <c r="BS48" s="201" t="s">
        <v>114</v>
      </c>
      <c r="BT48" s="201" t="s">
        <v>114</v>
      </c>
      <c r="BU48" s="183" t="s">
        <v>114</v>
      </c>
      <c r="BV48" s="199"/>
      <c r="BW48" s="199"/>
      <c r="BX48" s="200"/>
      <c r="BY48" s="201" t="s">
        <v>114</v>
      </c>
      <c r="BZ48" s="201" t="s">
        <v>114</v>
      </c>
      <c r="CA48" s="183" t="s">
        <v>114</v>
      </c>
    </row>
    <row r="49" spans="2:79" x14ac:dyDescent="0.25">
      <c r="B49" s="164">
        <v>41913</v>
      </c>
      <c r="C49" s="165">
        <v>31</v>
      </c>
      <c r="D49" s="172">
        <v>84.34</v>
      </c>
      <c r="E49" s="167">
        <v>1.1213</v>
      </c>
      <c r="F49" s="168">
        <v>-4.54</v>
      </c>
      <c r="G49" s="169">
        <v>-0.78649999999999998</v>
      </c>
      <c r="H49" s="170">
        <f t="shared" si="66"/>
        <v>79.688537662947454</v>
      </c>
      <c r="I49" s="168">
        <f t="shared" si="67"/>
        <v>562.29787145379987</v>
      </c>
      <c r="J49" s="168">
        <f t="shared" si="55"/>
        <v>563.08437145379992</v>
      </c>
      <c r="K49" s="171">
        <f t="shared" si="56"/>
        <v>0.94617026322029874</v>
      </c>
      <c r="L49" s="172">
        <f t="shared" si="68"/>
        <v>4.45</v>
      </c>
      <c r="M49" s="168">
        <v>-0.09</v>
      </c>
      <c r="N49" s="168">
        <f t="shared" si="57"/>
        <v>82.806559192183713</v>
      </c>
      <c r="O49" s="174">
        <f t="shared" si="58"/>
        <v>584.29923978674992</v>
      </c>
      <c r="P49" s="174">
        <f t="shared" si="59"/>
        <v>594.48443978674993</v>
      </c>
      <c r="Q49" s="175">
        <f t="shared" si="60"/>
        <v>0.99893289068057856</v>
      </c>
      <c r="R49" s="176"/>
      <c r="S49" s="177"/>
      <c r="T49" s="178">
        <f t="shared" si="61"/>
        <v>584.93429734853999</v>
      </c>
      <c r="U49" s="178">
        <f t="shared" si="62"/>
        <v>595.11949734853999</v>
      </c>
      <c r="V49" s="177"/>
      <c r="W49" s="176"/>
      <c r="X49" s="179">
        <v>-10.1852</v>
      </c>
      <c r="Y49" s="180">
        <v>0.21</v>
      </c>
      <c r="Z49" s="181"/>
      <c r="AA49" s="182">
        <v>-13.74</v>
      </c>
      <c r="AB49" s="182">
        <f t="shared" si="69"/>
        <v>497.92517466368997</v>
      </c>
      <c r="AC49" s="183">
        <f t="shared" si="70"/>
        <v>70.600000000000009</v>
      </c>
      <c r="AD49" s="184"/>
      <c r="AE49" s="184"/>
      <c r="AF49" s="184"/>
      <c r="AG49" s="185">
        <f t="shared" si="63"/>
        <v>13.65</v>
      </c>
      <c r="AH49" s="186">
        <f t="shared" si="64"/>
        <v>0.83708797723500128</v>
      </c>
      <c r="AI49" s="187"/>
      <c r="AJ49" s="242"/>
      <c r="AK49" s="166"/>
      <c r="AL49" s="190"/>
      <c r="AM49" s="191"/>
      <c r="AN49" s="192"/>
      <c r="AO49" s="168"/>
      <c r="AP49" s="193"/>
      <c r="AQ49" s="165"/>
      <c r="AR49" s="194">
        <v>0</v>
      </c>
      <c r="AS49" s="195">
        <v>0</v>
      </c>
      <c r="AT49" s="196">
        <f t="shared" si="71"/>
        <v>84.34</v>
      </c>
      <c r="AU49" s="197">
        <f t="shared" si="72"/>
        <v>595.11949734853999</v>
      </c>
      <c r="AV49" s="197">
        <f t="shared" si="73"/>
        <v>595.11949734853999</v>
      </c>
      <c r="AW49" s="198"/>
      <c r="AX49" s="194">
        <v>0</v>
      </c>
      <c r="AY49" s="195">
        <v>0</v>
      </c>
      <c r="AZ49" s="196">
        <f t="shared" si="74"/>
        <v>84.34</v>
      </c>
      <c r="BA49" s="197">
        <f t="shared" si="75"/>
        <v>595.11949734853999</v>
      </c>
      <c r="BB49" s="197">
        <f t="shared" si="76"/>
        <v>595.11949734853999</v>
      </c>
      <c r="BC49" s="198"/>
      <c r="BD49" s="194">
        <v>0</v>
      </c>
      <c r="BE49" s="195">
        <v>0</v>
      </c>
      <c r="BF49" s="196">
        <f t="shared" si="77"/>
        <v>84.34</v>
      </c>
      <c r="BG49" s="197">
        <f t="shared" si="78"/>
        <v>595.11949734853999</v>
      </c>
      <c r="BH49" s="197">
        <f t="shared" si="79"/>
        <v>595.11949734853999</v>
      </c>
      <c r="BI49" s="198"/>
      <c r="BJ49" s="194">
        <v>0</v>
      </c>
      <c r="BK49" s="195">
        <v>0</v>
      </c>
      <c r="BL49" s="196">
        <f t="shared" si="80"/>
        <v>84.34</v>
      </c>
      <c r="BM49" s="197">
        <f t="shared" si="81"/>
        <v>595.11949734853999</v>
      </c>
      <c r="BN49" s="197">
        <f t="shared" si="82"/>
        <v>595.11949734853999</v>
      </c>
      <c r="BO49" s="198"/>
      <c r="BP49" s="201">
        <f t="shared" si="65"/>
        <v>-13.49</v>
      </c>
      <c r="BQ49" s="199"/>
      <c r="BR49" s="200"/>
      <c r="BS49" s="201" t="s">
        <v>114</v>
      </c>
      <c r="BT49" s="201" t="s">
        <v>114</v>
      </c>
      <c r="BU49" s="183" t="s">
        <v>114</v>
      </c>
      <c r="BV49" s="199"/>
      <c r="BW49" s="199"/>
      <c r="BX49" s="200"/>
      <c r="BY49" s="201" t="s">
        <v>114</v>
      </c>
      <c r="BZ49" s="201" t="s">
        <v>114</v>
      </c>
      <c r="CA49" s="183" t="s">
        <v>114</v>
      </c>
    </row>
    <row r="50" spans="2:79" x14ac:dyDescent="0.25">
      <c r="B50" s="164">
        <v>41944</v>
      </c>
      <c r="C50" s="165">
        <v>30</v>
      </c>
      <c r="D50" s="172">
        <v>75.81</v>
      </c>
      <c r="E50" s="167">
        <v>1.1326000000000001</v>
      </c>
      <c r="F50" s="168">
        <v>-5.3</v>
      </c>
      <c r="G50" s="169">
        <v>-0.73160000000000003</v>
      </c>
      <c r="H50" s="170">
        <f t="shared" si="66"/>
        <v>70.407352499302391</v>
      </c>
      <c r="I50" s="168">
        <f t="shared" si="67"/>
        <v>501.81464466662004</v>
      </c>
      <c r="J50" s="168">
        <f t="shared" si="55"/>
        <v>502.54624466662005</v>
      </c>
      <c r="K50" s="171">
        <f t="shared" si="56"/>
        <v>0.93008837884184148</v>
      </c>
      <c r="L50" s="172">
        <f t="shared" si="68"/>
        <v>3.17</v>
      </c>
      <c r="M50" s="168">
        <v>-2.13</v>
      </c>
      <c r="N50" s="168">
        <f t="shared" si="57"/>
        <v>72.665128257523179</v>
      </c>
      <c r="O50" s="174">
        <f t="shared" si="58"/>
        <v>517.90650012816002</v>
      </c>
      <c r="P50" s="174">
        <f t="shared" si="59"/>
        <v>525.13980012816</v>
      </c>
      <c r="Q50" s="175">
        <f t="shared" si="60"/>
        <v>0.97190344281757035</v>
      </c>
      <c r="R50" s="176"/>
      <c r="S50" s="177"/>
      <c r="T50" s="178">
        <f t="shared" si="61"/>
        <v>533.08765884522006</v>
      </c>
      <c r="U50" s="178">
        <f t="shared" si="62"/>
        <v>540.32095884522005</v>
      </c>
      <c r="V50" s="177"/>
      <c r="W50" s="176"/>
      <c r="X50" s="179">
        <v>-7.2332999999999998</v>
      </c>
      <c r="Y50" s="180">
        <v>0.16</v>
      </c>
      <c r="Z50" s="181"/>
      <c r="AA50" s="182">
        <v>-12.94</v>
      </c>
      <c r="AB50" s="182">
        <f t="shared" si="69"/>
        <v>447.87578133650101</v>
      </c>
      <c r="AC50" s="183">
        <f t="shared" si="70"/>
        <v>62.870000000000005</v>
      </c>
      <c r="AD50" s="184"/>
      <c r="AE50" s="184"/>
      <c r="AF50" s="184"/>
      <c r="AG50" s="185">
        <f t="shared" si="63"/>
        <v>10.809999999999999</v>
      </c>
      <c r="AH50" s="186">
        <f t="shared" si="64"/>
        <v>0.82931011739876004</v>
      </c>
      <c r="AI50" s="187"/>
      <c r="AJ50" s="242"/>
      <c r="AK50" s="166"/>
      <c r="AL50" s="190"/>
      <c r="AM50" s="191"/>
      <c r="AN50" s="192"/>
      <c r="AO50" s="168"/>
      <c r="AP50" s="193"/>
      <c r="AQ50" s="165"/>
      <c r="AR50" s="194">
        <v>0</v>
      </c>
      <c r="AS50" s="195">
        <v>0</v>
      </c>
      <c r="AT50" s="196">
        <f t="shared" si="71"/>
        <v>75.81</v>
      </c>
      <c r="AU50" s="197">
        <f t="shared" si="72"/>
        <v>540.32095884522005</v>
      </c>
      <c r="AV50" s="197">
        <f t="shared" si="73"/>
        <v>540.32095884522005</v>
      </c>
      <c r="AW50" s="198"/>
      <c r="AX50" s="194">
        <v>0</v>
      </c>
      <c r="AY50" s="195">
        <v>0</v>
      </c>
      <c r="AZ50" s="196">
        <f t="shared" si="74"/>
        <v>75.81</v>
      </c>
      <c r="BA50" s="197">
        <f t="shared" si="75"/>
        <v>540.32095884522005</v>
      </c>
      <c r="BB50" s="197">
        <f t="shared" si="76"/>
        <v>540.32095884522005</v>
      </c>
      <c r="BC50" s="198"/>
      <c r="BD50" s="194">
        <v>0</v>
      </c>
      <c r="BE50" s="195">
        <v>0</v>
      </c>
      <c r="BF50" s="196">
        <f t="shared" si="77"/>
        <v>75.81</v>
      </c>
      <c r="BG50" s="197">
        <f t="shared" si="78"/>
        <v>540.32095884522005</v>
      </c>
      <c r="BH50" s="197">
        <f t="shared" si="79"/>
        <v>540.32095884522005</v>
      </c>
      <c r="BI50" s="198"/>
      <c r="BJ50" s="194">
        <v>0</v>
      </c>
      <c r="BK50" s="195">
        <v>0</v>
      </c>
      <c r="BL50" s="196">
        <f t="shared" si="80"/>
        <v>75.81</v>
      </c>
      <c r="BM50" s="197">
        <f t="shared" si="81"/>
        <v>540.32095884522005</v>
      </c>
      <c r="BN50" s="197">
        <f t="shared" si="82"/>
        <v>540.32095884522005</v>
      </c>
      <c r="BO50" s="198"/>
      <c r="BP50" s="201">
        <f t="shared" si="65"/>
        <v>-12.69</v>
      </c>
      <c r="BQ50" s="199"/>
      <c r="BR50" s="200"/>
      <c r="BS50" s="201" t="s">
        <v>114</v>
      </c>
      <c r="BT50" s="201" t="s">
        <v>114</v>
      </c>
      <c r="BU50" s="183" t="s">
        <v>114</v>
      </c>
      <c r="BV50" s="199"/>
      <c r="BW50" s="199"/>
      <c r="BX50" s="200"/>
      <c r="BY50" s="201" t="s">
        <v>114</v>
      </c>
      <c r="BZ50" s="201" t="s">
        <v>114</v>
      </c>
      <c r="CA50" s="183" t="s">
        <v>114</v>
      </c>
    </row>
    <row r="51" spans="2:79" x14ac:dyDescent="0.25">
      <c r="B51" s="202">
        <v>41974</v>
      </c>
      <c r="C51" s="203">
        <v>31</v>
      </c>
      <c r="D51" s="210">
        <v>59.29</v>
      </c>
      <c r="E51" s="205">
        <v>1.1533</v>
      </c>
      <c r="F51" s="206">
        <v>-9.23</v>
      </c>
      <c r="G51" s="207">
        <v>-1.0259</v>
      </c>
      <c r="H51" s="208">
        <f t="shared" si="66"/>
        <v>49.918644087736389</v>
      </c>
      <c r="I51" s="206">
        <f t="shared" si="67"/>
        <v>362.28790256825999</v>
      </c>
      <c r="J51" s="206">
        <f t="shared" si="55"/>
        <v>363.31380256825997</v>
      </c>
      <c r="K51" s="209">
        <f t="shared" si="56"/>
        <v>0.84432450666216907</v>
      </c>
      <c r="L51" s="210">
        <f t="shared" si="68"/>
        <v>3.7200000000000006</v>
      </c>
      <c r="M51" s="206">
        <v>-5.51</v>
      </c>
      <c r="N51" s="206">
        <f t="shared" si="57"/>
        <v>52.860008489528283</v>
      </c>
      <c r="O51" s="212">
        <f t="shared" si="58"/>
        <v>383.63505170038002</v>
      </c>
      <c r="P51" s="212">
        <f t="shared" si="59"/>
        <v>390.31195170038001</v>
      </c>
      <c r="Q51" s="213">
        <f t="shared" si="60"/>
        <v>0.907066959015011</v>
      </c>
      <c r="R51" s="214"/>
      <c r="S51" s="215"/>
      <c r="T51" s="216">
        <f t="shared" si="61"/>
        <v>423.62424571058995</v>
      </c>
      <c r="U51" s="216">
        <f t="shared" si="62"/>
        <v>430.30114571058994</v>
      </c>
      <c r="V51" s="215"/>
      <c r="W51" s="214"/>
      <c r="X51" s="217">
        <v>-6.6768999999999998</v>
      </c>
      <c r="Y51" s="218">
        <v>0.17</v>
      </c>
      <c r="Z51" s="219"/>
      <c r="AA51" s="220">
        <v>-16.05</v>
      </c>
      <c r="AB51" s="220">
        <f t="shared" si="69"/>
        <v>313.66462256286599</v>
      </c>
      <c r="AC51" s="221">
        <f t="shared" si="70"/>
        <v>43.239999999999995</v>
      </c>
      <c r="AD51" s="222"/>
      <c r="AE51" s="222"/>
      <c r="AF51" s="222"/>
      <c r="AG51" s="223">
        <f t="shared" si="63"/>
        <v>10.540000000000001</v>
      </c>
      <c r="AH51" s="224">
        <f t="shared" si="64"/>
        <v>0.72929667734862536</v>
      </c>
      <c r="AI51" s="225"/>
      <c r="AJ51" s="243"/>
      <c r="AK51" s="204"/>
      <c r="AL51" s="228"/>
      <c r="AM51" s="229"/>
      <c r="AN51" s="230"/>
      <c r="AO51" s="206"/>
      <c r="AP51" s="231"/>
      <c r="AQ51" s="203"/>
      <c r="AR51" s="232">
        <v>0</v>
      </c>
      <c r="AS51" s="233">
        <v>0</v>
      </c>
      <c r="AT51" s="234">
        <f t="shared" si="71"/>
        <v>59.29</v>
      </c>
      <c r="AU51" s="235">
        <f t="shared" si="72"/>
        <v>430.30114571058994</v>
      </c>
      <c r="AV51" s="235">
        <f t="shared" si="73"/>
        <v>430.30114571058994</v>
      </c>
      <c r="AW51" s="236"/>
      <c r="AX51" s="232">
        <v>0</v>
      </c>
      <c r="AY51" s="233">
        <v>0</v>
      </c>
      <c r="AZ51" s="234">
        <f t="shared" si="74"/>
        <v>59.29</v>
      </c>
      <c r="BA51" s="235">
        <f t="shared" si="75"/>
        <v>430.30114571058994</v>
      </c>
      <c r="BB51" s="235">
        <f t="shared" si="76"/>
        <v>430.30114571058994</v>
      </c>
      <c r="BC51" s="236"/>
      <c r="BD51" s="232">
        <v>0</v>
      </c>
      <c r="BE51" s="233">
        <v>0</v>
      </c>
      <c r="BF51" s="234">
        <f t="shared" si="77"/>
        <v>59.29</v>
      </c>
      <c r="BG51" s="235">
        <f t="shared" si="78"/>
        <v>430.30114571058994</v>
      </c>
      <c r="BH51" s="235">
        <f t="shared" si="79"/>
        <v>430.30114571058994</v>
      </c>
      <c r="BI51" s="236"/>
      <c r="BJ51" s="232">
        <v>0</v>
      </c>
      <c r="BK51" s="233">
        <v>0</v>
      </c>
      <c r="BL51" s="234">
        <f t="shared" si="80"/>
        <v>59.29</v>
      </c>
      <c r="BM51" s="235">
        <f t="shared" si="81"/>
        <v>430.30114571058994</v>
      </c>
      <c r="BN51" s="235">
        <f t="shared" si="82"/>
        <v>430.30114571058994</v>
      </c>
      <c r="BO51" s="236"/>
      <c r="BP51" s="239">
        <f t="shared" si="65"/>
        <v>-15.8</v>
      </c>
      <c r="BQ51" s="237"/>
      <c r="BR51" s="238"/>
      <c r="BS51" s="239" t="s">
        <v>114</v>
      </c>
      <c r="BT51" s="239" t="s">
        <v>114</v>
      </c>
      <c r="BU51" s="221" t="s">
        <v>114</v>
      </c>
      <c r="BV51" s="237"/>
      <c r="BW51" s="237"/>
      <c r="BX51" s="238"/>
      <c r="BY51" s="239" t="s">
        <v>114</v>
      </c>
      <c r="BZ51" s="239" t="s">
        <v>114</v>
      </c>
      <c r="CA51" s="221" t="s">
        <v>114</v>
      </c>
    </row>
    <row r="52" spans="2:79" x14ac:dyDescent="0.25">
      <c r="B52" s="164">
        <v>42005</v>
      </c>
      <c r="C52" s="165">
        <v>31</v>
      </c>
      <c r="D52" s="172">
        <v>47.33</v>
      </c>
      <c r="E52" s="167">
        <v>1.2115</v>
      </c>
      <c r="F52" s="168">
        <v>-6.97</v>
      </c>
      <c r="G52" s="169">
        <v>-0.88100000000000001</v>
      </c>
      <c r="H52" s="170">
        <f t="shared" si="66"/>
        <v>40.24444101200001</v>
      </c>
      <c r="I52" s="168">
        <f t="shared" si="67"/>
        <v>306.81605252180003</v>
      </c>
      <c r="J52" s="168">
        <f t="shared" si="55"/>
        <v>307.6970525218</v>
      </c>
      <c r="K52" s="171">
        <f t="shared" si="56"/>
        <v>0.85273610817663215</v>
      </c>
      <c r="L52" s="172">
        <f t="shared" si="68"/>
        <v>2.08</v>
      </c>
      <c r="M52" s="168">
        <v>-4.8899999999999997</v>
      </c>
      <c r="N52" s="168">
        <f t="shared" si="57"/>
        <v>41.381172736853188</v>
      </c>
      <c r="O52" s="174">
        <f t="shared" si="58"/>
        <v>315.4822814922</v>
      </c>
      <c r="P52" s="174">
        <f t="shared" si="59"/>
        <v>323.55458149219999</v>
      </c>
      <c r="Q52" s="175">
        <f t="shared" si="60"/>
        <v>0.89668286499049232</v>
      </c>
      <c r="R52" s="176"/>
      <c r="S52" s="177"/>
      <c r="T52" s="178">
        <f t="shared" si="61"/>
        <v>352.76272219664997</v>
      </c>
      <c r="U52" s="178">
        <f t="shared" si="62"/>
        <v>360.83502219664996</v>
      </c>
      <c r="V52" s="177"/>
      <c r="W52" s="176"/>
      <c r="X52" s="179">
        <v>-8.0723000000000003</v>
      </c>
      <c r="Y52" s="180">
        <v>0.21</v>
      </c>
      <c r="Z52" s="181"/>
      <c r="AA52" s="182">
        <v>-16.899999999999999</v>
      </c>
      <c r="AB52" s="182">
        <f t="shared" si="69"/>
        <v>231.8798079534225</v>
      </c>
      <c r="AC52" s="183">
        <f t="shared" si="70"/>
        <v>30.43</v>
      </c>
      <c r="AD52" s="184"/>
      <c r="AE52" s="184"/>
      <c r="AF52" s="184"/>
      <c r="AG52" s="185">
        <f t="shared" ref="AG52:AG115" si="85">F52-AA52</f>
        <v>9.93</v>
      </c>
      <c r="AH52" s="244">
        <f t="shared" si="64"/>
        <v>0.64293260088738646</v>
      </c>
      <c r="AI52" s="245"/>
      <c r="AJ52" s="246"/>
      <c r="AK52" s="127"/>
      <c r="AL52" s="190"/>
      <c r="AM52" s="191"/>
      <c r="AN52" s="192"/>
      <c r="AO52" s="168"/>
      <c r="AP52" s="193"/>
      <c r="AQ52" s="165"/>
      <c r="AR52" s="194">
        <v>0</v>
      </c>
      <c r="AS52" s="195">
        <v>0</v>
      </c>
      <c r="AT52" s="196">
        <f t="shared" si="71"/>
        <v>47.33</v>
      </c>
      <c r="AU52" s="197">
        <f t="shared" si="72"/>
        <v>360.83502219664996</v>
      </c>
      <c r="AV52" s="197">
        <f t="shared" si="73"/>
        <v>360.83502219664996</v>
      </c>
      <c r="AW52" s="198"/>
      <c r="AX52" s="194">
        <v>0</v>
      </c>
      <c r="AY52" s="195">
        <v>0</v>
      </c>
      <c r="AZ52" s="196">
        <f t="shared" si="74"/>
        <v>47.33</v>
      </c>
      <c r="BA52" s="197">
        <f t="shared" si="75"/>
        <v>360.83502219664996</v>
      </c>
      <c r="BB52" s="197">
        <f t="shared" si="76"/>
        <v>360.83502219664996</v>
      </c>
      <c r="BC52" s="198"/>
      <c r="BD52" s="194">
        <v>0</v>
      </c>
      <c r="BE52" s="195">
        <v>0</v>
      </c>
      <c r="BF52" s="196">
        <f t="shared" si="77"/>
        <v>47.33</v>
      </c>
      <c r="BG52" s="197">
        <f t="shared" si="78"/>
        <v>360.83502219664996</v>
      </c>
      <c r="BH52" s="197">
        <f t="shared" si="79"/>
        <v>360.83502219664996</v>
      </c>
      <c r="BI52" s="198"/>
      <c r="BJ52" s="194">
        <v>0</v>
      </c>
      <c r="BK52" s="195">
        <v>0</v>
      </c>
      <c r="BL52" s="196">
        <f t="shared" si="80"/>
        <v>47.33</v>
      </c>
      <c r="BM52" s="197">
        <f t="shared" si="81"/>
        <v>360.83502219664996</v>
      </c>
      <c r="BN52" s="197">
        <f t="shared" si="82"/>
        <v>360.83502219664996</v>
      </c>
      <c r="BO52" s="198"/>
      <c r="BP52" s="201">
        <f t="shared" si="65"/>
        <v>-16.649999999999999</v>
      </c>
      <c r="BQ52" s="199"/>
      <c r="BR52" s="200"/>
      <c r="BS52" s="201" t="s">
        <v>114</v>
      </c>
      <c r="BT52" s="201" t="s">
        <v>114</v>
      </c>
      <c r="BU52" s="183" t="s">
        <v>114</v>
      </c>
      <c r="BV52" s="199"/>
      <c r="BW52" s="199"/>
      <c r="BX52" s="200"/>
      <c r="BY52" s="201" t="s">
        <v>114</v>
      </c>
      <c r="BZ52" s="201" t="s">
        <v>114</v>
      </c>
      <c r="CA52" s="183" t="s">
        <v>114</v>
      </c>
    </row>
    <row r="53" spans="2:79" x14ac:dyDescent="0.25">
      <c r="B53" s="164">
        <v>42036</v>
      </c>
      <c r="C53" s="165">
        <v>28</v>
      </c>
      <c r="D53" s="172">
        <v>50.72</v>
      </c>
      <c r="E53" s="167">
        <v>1.25</v>
      </c>
      <c r="F53" s="168">
        <v>-7.18</v>
      </c>
      <c r="G53" s="169">
        <v>-1.1731</v>
      </c>
      <c r="H53" s="170">
        <f t="shared" si="66"/>
        <v>43.390866138979518</v>
      </c>
      <c r="I53" s="168">
        <f t="shared" si="67"/>
        <v>341.31634975000003</v>
      </c>
      <c r="J53" s="168">
        <f t="shared" si="55"/>
        <v>342.48944975000001</v>
      </c>
      <c r="K53" s="171">
        <f t="shared" si="56"/>
        <v>0.8584384858044164</v>
      </c>
      <c r="L53" s="172">
        <f t="shared" si="68"/>
        <v>2.9399999999999995</v>
      </c>
      <c r="M53" s="168">
        <v>-4.24</v>
      </c>
      <c r="N53" s="168">
        <f t="shared" si="57"/>
        <v>45.274979079497903</v>
      </c>
      <c r="O53" s="174">
        <f t="shared" si="58"/>
        <v>356.13694699999996</v>
      </c>
      <c r="P53" s="174">
        <f t="shared" si="59"/>
        <v>365.61574699999994</v>
      </c>
      <c r="Q53" s="175">
        <f t="shared" si="60"/>
        <v>0.91640378548895896</v>
      </c>
      <c r="R53" s="176"/>
      <c r="S53" s="177"/>
      <c r="T53" s="178">
        <f t="shared" si="61"/>
        <v>389.48915799999997</v>
      </c>
      <c r="U53" s="178">
        <f t="shared" si="62"/>
        <v>398.96795799999995</v>
      </c>
      <c r="V53" s="177"/>
      <c r="W53" s="176"/>
      <c r="X53" s="179">
        <v>-9.4787999999999997</v>
      </c>
      <c r="Y53" s="180">
        <v>0.17</v>
      </c>
      <c r="Z53" s="181"/>
      <c r="AA53" s="182">
        <v>-14.2</v>
      </c>
      <c r="AB53" s="182">
        <f t="shared" si="69"/>
        <v>287.12984932499995</v>
      </c>
      <c r="AC53" s="183">
        <f t="shared" si="70"/>
        <v>36.519999999999996</v>
      </c>
      <c r="AD53" s="184"/>
      <c r="AE53" s="184"/>
      <c r="AF53" s="184"/>
      <c r="AG53" s="185">
        <f t="shared" si="85"/>
        <v>7.02</v>
      </c>
      <c r="AH53" s="244">
        <f t="shared" si="64"/>
        <v>0.72003154574132489</v>
      </c>
      <c r="AI53" s="245"/>
      <c r="AJ53" s="246"/>
      <c r="AK53" s="166"/>
      <c r="AL53" s="190"/>
      <c r="AM53" s="191"/>
      <c r="AN53" s="192"/>
      <c r="AO53" s="168"/>
      <c r="AP53" s="193"/>
      <c r="AQ53" s="165"/>
      <c r="AR53" s="194">
        <v>0</v>
      </c>
      <c r="AS53" s="195">
        <v>0</v>
      </c>
      <c r="AT53" s="196">
        <f t="shared" si="71"/>
        <v>50.72</v>
      </c>
      <c r="AU53" s="197">
        <f t="shared" si="72"/>
        <v>398.96795800000001</v>
      </c>
      <c r="AV53" s="197">
        <f t="shared" si="73"/>
        <v>398.96795800000001</v>
      </c>
      <c r="AW53" s="198"/>
      <c r="AX53" s="194">
        <v>0</v>
      </c>
      <c r="AY53" s="195">
        <v>0</v>
      </c>
      <c r="AZ53" s="196">
        <f t="shared" si="74"/>
        <v>50.72</v>
      </c>
      <c r="BA53" s="197">
        <f t="shared" si="75"/>
        <v>398.96795800000001</v>
      </c>
      <c r="BB53" s="197">
        <f t="shared" si="76"/>
        <v>398.96795800000001</v>
      </c>
      <c r="BC53" s="198"/>
      <c r="BD53" s="194">
        <v>0</v>
      </c>
      <c r="BE53" s="195">
        <v>0</v>
      </c>
      <c r="BF53" s="196">
        <f t="shared" si="77"/>
        <v>50.72</v>
      </c>
      <c r="BG53" s="197">
        <f t="shared" si="78"/>
        <v>398.96795800000001</v>
      </c>
      <c r="BH53" s="197">
        <f t="shared" si="79"/>
        <v>398.96795800000001</v>
      </c>
      <c r="BI53" s="198"/>
      <c r="BJ53" s="194">
        <v>0</v>
      </c>
      <c r="BK53" s="195">
        <v>0</v>
      </c>
      <c r="BL53" s="196">
        <f t="shared" si="80"/>
        <v>50.72</v>
      </c>
      <c r="BM53" s="197">
        <f t="shared" si="81"/>
        <v>398.96795800000001</v>
      </c>
      <c r="BN53" s="197">
        <f t="shared" si="82"/>
        <v>398.96795800000001</v>
      </c>
      <c r="BO53" s="198"/>
      <c r="BP53" s="201">
        <f t="shared" si="65"/>
        <v>-13.95</v>
      </c>
      <c r="BQ53" s="199"/>
      <c r="BR53" s="200"/>
      <c r="BS53" s="201" t="s">
        <v>114</v>
      </c>
      <c r="BT53" s="201" t="s">
        <v>114</v>
      </c>
      <c r="BU53" s="183" t="s">
        <v>114</v>
      </c>
      <c r="BV53" s="199"/>
      <c r="BW53" s="199"/>
      <c r="BX53" s="200"/>
      <c r="BY53" s="201" t="s">
        <v>114</v>
      </c>
      <c r="BZ53" s="201" t="s">
        <v>114</v>
      </c>
      <c r="CA53" s="183" t="s">
        <v>114</v>
      </c>
    </row>
    <row r="54" spans="2:79" x14ac:dyDescent="0.25">
      <c r="B54" s="164">
        <v>42064</v>
      </c>
      <c r="C54" s="165">
        <v>31</v>
      </c>
      <c r="D54" s="172">
        <v>47.85</v>
      </c>
      <c r="E54" s="167">
        <v>1.2619</v>
      </c>
      <c r="F54" s="168">
        <v>-6.26</v>
      </c>
      <c r="G54" s="169">
        <v>-0.78580000000000005</v>
      </c>
      <c r="H54" s="170">
        <f t="shared" si="66"/>
        <v>41.491044867633043</v>
      </c>
      <c r="I54" s="168">
        <f t="shared" si="67"/>
        <v>329.47925263827</v>
      </c>
      <c r="J54" s="168">
        <f t="shared" si="55"/>
        <v>330.26505263826999</v>
      </c>
      <c r="K54" s="171">
        <f t="shared" si="56"/>
        <v>0.86917450365726234</v>
      </c>
      <c r="L54" s="172">
        <f t="shared" si="68"/>
        <v>6.35</v>
      </c>
      <c r="M54" s="168">
        <v>0.09</v>
      </c>
      <c r="N54" s="168">
        <f t="shared" si="57"/>
        <v>47.18324131783406</v>
      </c>
      <c r="O54" s="174">
        <f t="shared" si="58"/>
        <v>374.68082898481998</v>
      </c>
      <c r="P54" s="174">
        <f t="shared" si="59"/>
        <v>380.69022898482001</v>
      </c>
      <c r="Q54" s="175">
        <f t="shared" si="60"/>
        <v>1.0018808777429469</v>
      </c>
      <c r="R54" s="176"/>
      <c r="S54" s="177"/>
      <c r="T54" s="178">
        <f t="shared" si="61"/>
        <v>373.96614144604996</v>
      </c>
      <c r="U54" s="178">
        <f t="shared" si="62"/>
        <v>379.97554144604999</v>
      </c>
      <c r="V54" s="177"/>
      <c r="W54" s="176"/>
      <c r="X54" s="179">
        <v>-6.0094000000000003</v>
      </c>
      <c r="Y54" s="180">
        <v>0.25</v>
      </c>
      <c r="Z54" s="181"/>
      <c r="AA54" s="182">
        <v>-13.09</v>
      </c>
      <c r="AB54" s="182">
        <f t="shared" si="69"/>
        <v>275.89400859946204</v>
      </c>
      <c r="AC54" s="183">
        <f t="shared" si="70"/>
        <v>34.760000000000005</v>
      </c>
      <c r="AD54" s="184"/>
      <c r="AE54" s="184"/>
      <c r="AF54" s="184"/>
      <c r="AG54" s="185">
        <f t="shared" si="85"/>
        <v>6.83</v>
      </c>
      <c r="AH54" s="244">
        <f t="shared" si="64"/>
        <v>0.72643678160919545</v>
      </c>
      <c r="AI54" s="245"/>
      <c r="AJ54" s="246"/>
      <c r="AK54" s="166"/>
      <c r="AL54" s="190"/>
      <c r="AM54" s="191"/>
      <c r="AN54" s="192"/>
      <c r="AO54" s="168"/>
      <c r="AP54" s="193"/>
      <c r="AQ54" s="165"/>
      <c r="AR54" s="194">
        <v>0</v>
      </c>
      <c r="AS54" s="195">
        <v>0</v>
      </c>
      <c r="AT54" s="196">
        <f t="shared" si="71"/>
        <v>47.85</v>
      </c>
      <c r="AU54" s="197">
        <f t="shared" si="72"/>
        <v>379.97554144605004</v>
      </c>
      <c r="AV54" s="197">
        <f t="shared" si="73"/>
        <v>379.97554144605004</v>
      </c>
      <c r="AW54" s="198"/>
      <c r="AX54" s="194">
        <v>0</v>
      </c>
      <c r="AY54" s="195">
        <v>0</v>
      </c>
      <c r="AZ54" s="196">
        <f t="shared" si="74"/>
        <v>47.85</v>
      </c>
      <c r="BA54" s="197">
        <f t="shared" si="75"/>
        <v>379.97554144605004</v>
      </c>
      <c r="BB54" s="197">
        <f t="shared" si="76"/>
        <v>379.97554144605004</v>
      </c>
      <c r="BC54" s="198"/>
      <c r="BD54" s="194">
        <v>0</v>
      </c>
      <c r="BE54" s="195">
        <v>0</v>
      </c>
      <c r="BF54" s="196">
        <f t="shared" si="77"/>
        <v>47.85</v>
      </c>
      <c r="BG54" s="197">
        <f t="shared" si="78"/>
        <v>379.97554144605004</v>
      </c>
      <c r="BH54" s="197">
        <f t="shared" si="79"/>
        <v>379.97554144605004</v>
      </c>
      <c r="BI54" s="198"/>
      <c r="BJ54" s="194">
        <v>0</v>
      </c>
      <c r="BK54" s="195">
        <v>0</v>
      </c>
      <c r="BL54" s="196">
        <f t="shared" si="80"/>
        <v>47.85</v>
      </c>
      <c r="BM54" s="197">
        <f t="shared" si="81"/>
        <v>379.97554144605004</v>
      </c>
      <c r="BN54" s="197">
        <f t="shared" si="82"/>
        <v>379.97554144605004</v>
      </c>
      <c r="BO54" s="198"/>
      <c r="BP54" s="201">
        <f t="shared" si="65"/>
        <v>-12.84</v>
      </c>
      <c r="BQ54" s="199"/>
      <c r="BR54" s="200"/>
      <c r="BS54" s="201" t="s">
        <v>114</v>
      </c>
      <c r="BT54" s="201" t="s">
        <v>114</v>
      </c>
      <c r="BU54" s="183" t="s">
        <v>114</v>
      </c>
      <c r="BV54" s="199"/>
      <c r="BW54" s="199"/>
      <c r="BX54" s="200"/>
      <c r="BY54" s="201" t="s">
        <v>114</v>
      </c>
      <c r="BZ54" s="201" t="s">
        <v>114</v>
      </c>
      <c r="CA54" s="183" t="s">
        <v>114</v>
      </c>
    </row>
    <row r="55" spans="2:79" x14ac:dyDescent="0.25">
      <c r="B55" s="164">
        <v>42095</v>
      </c>
      <c r="C55" s="165">
        <v>30</v>
      </c>
      <c r="D55" s="172">
        <v>54.63</v>
      </c>
      <c r="E55" s="167">
        <v>1.2331000000000001</v>
      </c>
      <c r="F55" s="168">
        <v>-4.93</v>
      </c>
      <c r="G55" s="169">
        <v>-0.42659999999999998</v>
      </c>
      <c r="H55" s="170">
        <f t="shared" si="66"/>
        <v>49.645023917023373</v>
      </c>
      <c r="I55" s="168">
        <f t="shared" si="67"/>
        <v>385.23237845090006</v>
      </c>
      <c r="J55" s="168">
        <f t="shared" si="55"/>
        <v>385.65897845090007</v>
      </c>
      <c r="K55" s="171">
        <f t="shared" si="56"/>
        <v>0.90975654402343031</v>
      </c>
      <c r="L55" s="172">
        <f t="shared" si="68"/>
        <v>5.6099999999999994</v>
      </c>
      <c r="M55" s="168">
        <v>0.68</v>
      </c>
      <c r="N55" s="168">
        <f t="shared" si="57"/>
        <v>54.352519218706561</v>
      </c>
      <c r="O55" s="174">
        <f t="shared" si="58"/>
        <v>421.76130861407006</v>
      </c>
      <c r="P55" s="174">
        <f t="shared" si="59"/>
        <v>429.19110861407006</v>
      </c>
      <c r="Q55" s="175">
        <f t="shared" si="60"/>
        <v>1.0124473732381476</v>
      </c>
      <c r="R55" s="176"/>
      <c r="S55" s="177"/>
      <c r="T55" s="178">
        <f t="shared" si="61"/>
        <v>416.48468677611004</v>
      </c>
      <c r="U55" s="178">
        <f t="shared" si="62"/>
        <v>423.91448677611004</v>
      </c>
      <c r="V55" s="177"/>
      <c r="W55" s="176"/>
      <c r="X55" s="179">
        <v>-7.4298000000000002</v>
      </c>
      <c r="Y55" s="180">
        <v>0.27</v>
      </c>
      <c r="Z55" s="181"/>
      <c r="AA55" s="182">
        <v>-14.37</v>
      </c>
      <c r="AB55" s="182">
        <f t="shared" si="69"/>
        <v>312.25516408716305</v>
      </c>
      <c r="AC55" s="183">
        <f t="shared" si="70"/>
        <v>40.260000000000005</v>
      </c>
      <c r="AD55" s="184"/>
      <c r="AE55" s="184"/>
      <c r="AF55" s="184"/>
      <c r="AG55" s="185">
        <f t="shared" si="85"/>
        <v>9.44</v>
      </c>
      <c r="AH55" s="244">
        <f t="shared" si="64"/>
        <v>0.73695771554091161</v>
      </c>
      <c r="AI55" s="245"/>
      <c r="AJ55" s="246"/>
      <c r="AK55" s="166"/>
      <c r="AL55" s="190"/>
      <c r="AM55" s="191"/>
      <c r="AN55" s="192"/>
      <c r="AO55" s="168"/>
      <c r="AP55" s="193"/>
      <c r="AQ55" s="165"/>
      <c r="AR55" s="194">
        <v>0</v>
      </c>
      <c r="AS55" s="195">
        <v>0</v>
      </c>
      <c r="AT55" s="196">
        <f t="shared" si="71"/>
        <v>54.629999999999995</v>
      </c>
      <c r="AU55" s="197">
        <f t="shared" si="72"/>
        <v>423.91448677610998</v>
      </c>
      <c r="AV55" s="197">
        <f t="shared" si="73"/>
        <v>423.91448677610998</v>
      </c>
      <c r="AW55" s="198"/>
      <c r="AX55" s="194">
        <v>0</v>
      </c>
      <c r="AY55" s="195">
        <v>0</v>
      </c>
      <c r="AZ55" s="196">
        <f t="shared" si="74"/>
        <v>54.629999999999995</v>
      </c>
      <c r="BA55" s="197">
        <f t="shared" si="75"/>
        <v>423.91448677610998</v>
      </c>
      <c r="BB55" s="197">
        <f t="shared" si="76"/>
        <v>423.91448677610998</v>
      </c>
      <c r="BC55" s="198"/>
      <c r="BD55" s="194">
        <v>0</v>
      </c>
      <c r="BE55" s="195">
        <v>0</v>
      </c>
      <c r="BF55" s="196">
        <f t="shared" si="77"/>
        <v>54.629999999999995</v>
      </c>
      <c r="BG55" s="197">
        <f t="shared" si="78"/>
        <v>423.91448677610998</v>
      </c>
      <c r="BH55" s="197">
        <f t="shared" si="79"/>
        <v>423.91448677610998</v>
      </c>
      <c r="BI55" s="198"/>
      <c r="BJ55" s="194">
        <v>0</v>
      </c>
      <c r="BK55" s="195">
        <v>0</v>
      </c>
      <c r="BL55" s="196">
        <f t="shared" si="80"/>
        <v>54.629999999999995</v>
      </c>
      <c r="BM55" s="197">
        <f t="shared" si="81"/>
        <v>423.91448677610998</v>
      </c>
      <c r="BN55" s="197">
        <f t="shared" si="82"/>
        <v>423.91448677610998</v>
      </c>
      <c r="BO55" s="198"/>
      <c r="BP55" s="201">
        <f t="shared" si="65"/>
        <v>-14.12</v>
      </c>
      <c r="BQ55" s="199"/>
      <c r="BR55" s="200"/>
      <c r="BS55" s="201" t="s">
        <v>114</v>
      </c>
      <c r="BT55" s="201" t="s">
        <v>114</v>
      </c>
      <c r="BU55" s="183" t="s">
        <v>114</v>
      </c>
      <c r="BV55" s="199"/>
      <c r="BW55" s="199"/>
      <c r="BX55" s="200"/>
      <c r="BY55" s="201" t="s">
        <v>114</v>
      </c>
      <c r="BZ55" s="201" t="s">
        <v>114</v>
      </c>
      <c r="CA55" s="183" t="s">
        <v>114</v>
      </c>
    </row>
    <row r="56" spans="2:79" x14ac:dyDescent="0.25">
      <c r="B56" s="164">
        <v>42125</v>
      </c>
      <c r="C56" s="165">
        <v>31</v>
      </c>
      <c r="D56" s="172">
        <v>59.37</v>
      </c>
      <c r="E56" s="167">
        <v>1.2184999999999999</v>
      </c>
      <c r="F56" s="168">
        <v>-2.82</v>
      </c>
      <c r="G56" s="169">
        <v>-0.71279999999999999</v>
      </c>
      <c r="H56" s="170">
        <f t="shared" si="66"/>
        <v>56.45704058169423</v>
      </c>
      <c r="I56" s="168">
        <f t="shared" si="67"/>
        <v>432.90480147224991</v>
      </c>
      <c r="J56" s="168">
        <f t="shared" si="55"/>
        <v>433.61760147224993</v>
      </c>
      <c r="K56" s="171">
        <f t="shared" si="56"/>
        <v>0.95250126326427487</v>
      </c>
      <c r="L56" s="172">
        <f t="shared" si="68"/>
        <v>4.3599999999999994</v>
      </c>
      <c r="M56" s="168">
        <v>1.54</v>
      </c>
      <c r="N56" s="168">
        <f t="shared" si="57"/>
        <v>59.636555084191293</v>
      </c>
      <c r="O56" s="174">
        <f t="shared" si="58"/>
        <v>457.28488020644994</v>
      </c>
      <c r="P56" s="174">
        <f t="shared" si="59"/>
        <v>467.04948020644991</v>
      </c>
      <c r="Q56" s="175">
        <f t="shared" si="60"/>
        <v>1.0259390264443322</v>
      </c>
      <c r="R56" s="176"/>
      <c r="S56" s="177"/>
      <c r="T56" s="178">
        <f t="shared" si="61"/>
        <v>445.47637258014998</v>
      </c>
      <c r="U56" s="178">
        <f t="shared" si="62"/>
        <v>455.24097258014996</v>
      </c>
      <c r="V56" s="177"/>
      <c r="W56" s="176"/>
      <c r="X56" s="179">
        <v>-9.7645999999999997</v>
      </c>
      <c r="Y56" s="180">
        <v>0.23</v>
      </c>
      <c r="Z56" s="181"/>
      <c r="AA56" s="182">
        <v>-11.87</v>
      </c>
      <c r="AB56" s="182">
        <f t="shared" si="69"/>
        <v>364.04636947687499</v>
      </c>
      <c r="AC56" s="183">
        <f t="shared" si="70"/>
        <v>47.5</v>
      </c>
      <c r="AD56" s="184"/>
      <c r="AE56" s="184"/>
      <c r="AF56" s="184"/>
      <c r="AG56" s="185">
        <f t="shared" si="85"/>
        <v>9.0499999999999989</v>
      </c>
      <c r="AH56" s="244">
        <f t="shared" si="64"/>
        <v>0.80006737409466067</v>
      </c>
      <c r="AI56" s="245"/>
      <c r="AJ56" s="246"/>
      <c r="AK56" s="166"/>
      <c r="AL56" s="190"/>
      <c r="AM56" s="191"/>
      <c r="AN56" s="192"/>
      <c r="AO56" s="168"/>
      <c r="AP56" s="193"/>
      <c r="AQ56" s="165"/>
      <c r="AR56" s="194">
        <v>0</v>
      </c>
      <c r="AS56" s="195">
        <v>0</v>
      </c>
      <c r="AT56" s="196">
        <f t="shared" si="71"/>
        <v>59.36999999999999</v>
      </c>
      <c r="AU56" s="197">
        <f t="shared" si="72"/>
        <v>455.2409725801499</v>
      </c>
      <c r="AV56" s="197">
        <f t="shared" si="73"/>
        <v>455.2409725801499</v>
      </c>
      <c r="AW56" s="198"/>
      <c r="AX56" s="194">
        <v>0</v>
      </c>
      <c r="AY56" s="195">
        <v>0</v>
      </c>
      <c r="AZ56" s="196">
        <f t="shared" si="74"/>
        <v>59.36999999999999</v>
      </c>
      <c r="BA56" s="197">
        <f t="shared" si="75"/>
        <v>455.2409725801499</v>
      </c>
      <c r="BB56" s="197">
        <f t="shared" si="76"/>
        <v>455.2409725801499</v>
      </c>
      <c r="BC56" s="198"/>
      <c r="BD56" s="194">
        <v>0</v>
      </c>
      <c r="BE56" s="195">
        <v>0</v>
      </c>
      <c r="BF56" s="196">
        <f t="shared" si="77"/>
        <v>59.36999999999999</v>
      </c>
      <c r="BG56" s="197">
        <f t="shared" si="78"/>
        <v>455.2409725801499</v>
      </c>
      <c r="BH56" s="197">
        <f t="shared" si="79"/>
        <v>455.2409725801499</v>
      </c>
      <c r="BI56" s="198"/>
      <c r="BJ56" s="194">
        <v>0</v>
      </c>
      <c r="BK56" s="195">
        <v>0</v>
      </c>
      <c r="BL56" s="196">
        <f t="shared" si="80"/>
        <v>59.36999999999999</v>
      </c>
      <c r="BM56" s="197">
        <f t="shared" si="81"/>
        <v>455.2409725801499</v>
      </c>
      <c r="BN56" s="197">
        <f t="shared" si="82"/>
        <v>455.2409725801499</v>
      </c>
      <c r="BO56" s="198"/>
      <c r="BP56" s="201">
        <f t="shared" si="65"/>
        <v>-11.62</v>
      </c>
      <c r="BQ56" s="199"/>
      <c r="BR56" s="200"/>
      <c r="BS56" s="201" t="s">
        <v>114</v>
      </c>
      <c r="BT56" s="201" t="s">
        <v>114</v>
      </c>
      <c r="BU56" s="183" t="s">
        <v>114</v>
      </c>
      <c r="BV56" s="199"/>
      <c r="BW56" s="199"/>
      <c r="BX56" s="200"/>
      <c r="BY56" s="201" t="s">
        <v>114</v>
      </c>
      <c r="BZ56" s="201" t="s">
        <v>114</v>
      </c>
      <c r="CA56" s="183" t="s">
        <v>114</v>
      </c>
    </row>
    <row r="57" spans="2:79" x14ac:dyDescent="0.25">
      <c r="B57" s="164">
        <v>42156</v>
      </c>
      <c r="C57" s="165">
        <v>30</v>
      </c>
      <c r="D57" s="172">
        <v>59.83</v>
      </c>
      <c r="E57" s="167">
        <v>1.2365999999999999</v>
      </c>
      <c r="F57" s="168">
        <v>-0.83</v>
      </c>
      <c r="G57" s="169">
        <v>-0.39019999999999999</v>
      </c>
      <c r="H57" s="170">
        <f t="shared" si="66"/>
        <v>58.949857121336898</v>
      </c>
      <c r="I57" s="168">
        <f t="shared" si="67"/>
        <v>458.73381947799993</v>
      </c>
      <c r="J57" s="168">
        <f t="shared" si="55"/>
        <v>459.12401947799992</v>
      </c>
      <c r="K57" s="171">
        <f t="shared" si="56"/>
        <v>0.98612736085575803</v>
      </c>
      <c r="L57" s="172">
        <f t="shared" si="68"/>
        <v>-1.3900000000000001</v>
      </c>
      <c r="M57" s="168">
        <v>-2.2200000000000002</v>
      </c>
      <c r="N57" s="168">
        <f t="shared" si="57"/>
        <v>56.375768123732087</v>
      </c>
      <c r="O57" s="174">
        <f t="shared" si="58"/>
        <v>438.70286884961996</v>
      </c>
      <c r="P57" s="174">
        <f t="shared" si="59"/>
        <v>448.30736884961993</v>
      </c>
      <c r="Q57" s="175">
        <f t="shared" si="60"/>
        <v>0.96289486879491892</v>
      </c>
      <c r="R57" s="176"/>
      <c r="S57" s="177"/>
      <c r="T57" s="178">
        <f t="shared" si="61"/>
        <v>455.97838280285998</v>
      </c>
      <c r="U57" s="178">
        <f t="shared" si="62"/>
        <v>465.58288280285996</v>
      </c>
      <c r="V57" s="177"/>
      <c r="W57" s="176"/>
      <c r="X57" s="179">
        <v>-9.6044999999999998</v>
      </c>
      <c r="Y57" s="180">
        <v>0.09</v>
      </c>
      <c r="Z57" s="181"/>
      <c r="AA57" s="182">
        <v>-8.5399999999999991</v>
      </c>
      <c r="AB57" s="182">
        <f t="shared" si="69"/>
        <v>398.93257698194697</v>
      </c>
      <c r="AC57" s="183">
        <f t="shared" si="70"/>
        <v>51.29</v>
      </c>
      <c r="AD57" s="184"/>
      <c r="AE57" s="184"/>
      <c r="AF57" s="184"/>
      <c r="AG57" s="185">
        <f t="shared" si="85"/>
        <v>7.7099999999999991</v>
      </c>
      <c r="AH57" s="244">
        <f t="shared" si="64"/>
        <v>0.85726224302189535</v>
      </c>
      <c r="AI57" s="245"/>
      <c r="AJ57" s="246"/>
      <c r="AK57" s="166"/>
      <c r="AL57" s="190"/>
      <c r="AM57" s="191"/>
      <c r="AN57" s="192"/>
      <c r="AO57" s="168"/>
      <c r="AP57" s="193"/>
      <c r="AQ57" s="165"/>
      <c r="AR57" s="194">
        <v>0</v>
      </c>
      <c r="AS57" s="195">
        <v>0</v>
      </c>
      <c r="AT57" s="196">
        <f t="shared" si="71"/>
        <v>59.83</v>
      </c>
      <c r="AU57" s="197">
        <f t="shared" si="72"/>
        <v>465.5828828028599</v>
      </c>
      <c r="AV57" s="197">
        <f t="shared" si="73"/>
        <v>465.5828828028599</v>
      </c>
      <c r="AW57" s="198"/>
      <c r="AX57" s="194">
        <v>0</v>
      </c>
      <c r="AY57" s="195">
        <v>0</v>
      </c>
      <c r="AZ57" s="196">
        <f t="shared" si="74"/>
        <v>59.83</v>
      </c>
      <c r="BA57" s="197">
        <f t="shared" si="75"/>
        <v>465.5828828028599</v>
      </c>
      <c r="BB57" s="197">
        <f t="shared" si="76"/>
        <v>465.5828828028599</v>
      </c>
      <c r="BC57" s="198"/>
      <c r="BD57" s="194">
        <v>0</v>
      </c>
      <c r="BE57" s="195">
        <v>0</v>
      </c>
      <c r="BF57" s="196">
        <f t="shared" si="77"/>
        <v>59.83</v>
      </c>
      <c r="BG57" s="197">
        <f t="shared" si="78"/>
        <v>465.5828828028599</v>
      </c>
      <c r="BH57" s="197">
        <f t="shared" si="79"/>
        <v>465.5828828028599</v>
      </c>
      <c r="BI57" s="198"/>
      <c r="BJ57" s="194">
        <v>0</v>
      </c>
      <c r="BK57" s="195">
        <v>0</v>
      </c>
      <c r="BL57" s="196">
        <f t="shared" si="80"/>
        <v>59.83</v>
      </c>
      <c r="BM57" s="197">
        <f t="shared" si="81"/>
        <v>465.5828828028599</v>
      </c>
      <c r="BN57" s="197">
        <f t="shared" si="82"/>
        <v>465.5828828028599</v>
      </c>
      <c r="BO57" s="198"/>
      <c r="BP57" s="201">
        <f t="shared" si="65"/>
        <v>-8.2899999999999991</v>
      </c>
      <c r="BQ57" s="199"/>
      <c r="BR57" s="200"/>
      <c r="BS57" s="201" t="s">
        <v>114</v>
      </c>
      <c r="BT57" s="201" t="s">
        <v>114</v>
      </c>
      <c r="BU57" s="183" t="s">
        <v>114</v>
      </c>
      <c r="BV57" s="199"/>
      <c r="BW57" s="199"/>
      <c r="BX57" s="200"/>
      <c r="BY57" s="201" t="s">
        <v>114</v>
      </c>
      <c r="BZ57" s="201" t="s">
        <v>114</v>
      </c>
      <c r="CA57" s="183" t="s">
        <v>114</v>
      </c>
    </row>
    <row r="58" spans="2:79" x14ac:dyDescent="0.25">
      <c r="B58" s="164">
        <v>42186</v>
      </c>
      <c r="C58" s="165">
        <v>31</v>
      </c>
      <c r="D58" s="172">
        <v>50.93</v>
      </c>
      <c r="E58" s="167">
        <v>1.2865</v>
      </c>
      <c r="F58" s="168">
        <v>-0.43</v>
      </c>
      <c r="G58" s="169">
        <v>-0.2291</v>
      </c>
      <c r="H58" s="170">
        <f t="shared" si="66"/>
        <v>50.471701296517459</v>
      </c>
      <c r="I58" s="168">
        <f t="shared" si="67"/>
        <v>408.60765137750002</v>
      </c>
      <c r="J58" s="168">
        <f t="shared" si="55"/>
        <v>408.83675137750004</v>
      </c>
      <c r="K58" s="171">
        <f t="shared" si="56"/>
        <v>0.99155703907323778</v>
      </c>
      <c r="L58" s="172">
        <f t="shared" si="68"/>
        <v>-3.9199999999999995</v>
      </c>
      <c r="M58" s="168">
        <v>-4.3499999999999996</v>
      </c>
      <c r="N58" s="168">
        <f t="shared" si="57"/>
        <v>46.109495454232331</v>
      </c>
      <c r="O58" s="174">
        <f t="shared" si="58"/>
        <v>373.29220453789998</v>
      </c>
      <c r="P58" s="174">
        <f t="shared" si="59"/>
        <v>377.10130453789998</v>
      </c>
      <c r="Q58" s="175">
        <f t="shared" si="60"/>
        <v>0.91458865108973098</v>
      </c>
      <c r="R58" s="176"/>
      <c r="S58" s="177"/>
      <c r="T58" s="178">
        <f t="shared" si="61"/>
        <v>408.50883559714998</v>
      </c>
      <c r="U58" s="178">
        <f t="shared" si="62"/>
        <v>412.31793559714998</v>
      </c>
      <c r="V58" s="177"/>
      <c r="W58" s="176"/>
      <c r="X58" s="179">
        <v>-3.8090999999999999</v>
      </c>
      <c r="Y58" s="180">
        <v>0.06</v>
      </c>
      <c r="Z58" s="181"/>
      <c r="AA58" s="182">
        <v>-7.44</v>
      </c>
      <c r="AB58" s="182">
        <f t="shared" si="69"/>
        <v>351.9141741467925</v>
      </c>
      <c r="AC58" s="183">
        <f t="shared" si="70"/>
        <v>43.49</v>
      </c>
      <c r="AD58" s="184"/>
      <c r="AE58" s="184"/>
      <c r="AF58" s="184"/>
      <c r="AG58" s="185">
        <f t="shared" si="85"/>
        <v>7.0100000000000007</v>
      </c>
      <c r="AH58" s="244">
        <f t="shared" si="64"/>
        <v>0.85391714117416062</v>
      </c>
      <c r="AI58" s="245"/>
      <c r="AJ58" s="246"/>
      <c r="AK58" s="166"/>
      <c r="AL58" s="190"/>
      <c r="AM58" s="191"/>
      <c r="AN58" s="192"/>
      <c r="AO58" s="168"/>
      <c r="AP58" s="193"/>
      <c r="AQ58" s="165"/>
      <c r="AR58" s="194">
        <v>0</v>
      </c>
      <c r="AS58" s="195">
        <v>0</v>
      </c>
      <c r="AT58" s="196">
        <f t="shared" si="71"/>
        <v>50.93</v>
      </c>
      <c r="AU58" s="197">
        <f t="shared" si="72"/>
        <v>412.31793559714998</v>
      </c>
      <c r="AV58" s="197">
        <f t="shared" si="73"/>
        <v>412.31793559714998</v>
      </c>
      <c r="AW58" s="198"/>
      <c r="AX58" s="194">
        <v>0</v>
      </c>
      <c r="AY58" s="195">
        <v>0</v>
      </c>
      <c r="AZ58" s="196">
        <f t="shared" si="74"/>
        <v>50.93</v>
      </c>
      <c r="BA58" s="197">
        <f t="shared" si="75"/>
        <v>412.31793559714998</v>
      </c>
      <c r="BB58" s="197">
        <f t="shared" si="76"/>
        <v>412.31793559714998</v>
      </c>
      <c r="BC58" s="198"/>
      <c r="BD58" s="194">
        <v>0</v>
      </c>
      <c r="BE58" s="195">
        <v>0</v>
      </c>
      <c r="BF58" s="196">
        <f t="shared" si="77"/>
        <v>50.93</v>
      </c>
      <c r="BG58" s="197">
        <f t="shared" si="78"/>
        <v>412.31793559714998</v>
      </c>
      <c r="BH58" s="197">
        <f t="shared" si="79"/>
        <v>412.31793559714998</v>
      </c>
      <c r="BI58" s="198"/>
      <c r="BJ58" s="194">
        <v>0</v>
      </c>
      <c r="BK58" s="195">
        <v>0</v>
      </c>
      <c r="BL58" s="196">
        <f t="shared" si="80"/>
        <v>50.93</v>
      </c>
      <c r="BM58" s="197">
        <f t="shared" si="81"/>
        <v>412.31793559714998</v>
      </c>
      <c r="BN58" s="197">
        <f t="shared" si="82"/>
        <v>412.31793559714998</v>
      </c>
      <c r="BO58" s="198"/>
      <c r="BP58" s="201">
        <f t="shared" si="65"/>
        <v>-7.19</v>
      </c>
      <c r="BQ58" s="199"/>
      <c r="BR58" s="200"/>
      <c r="BS58" s="201" t="s">
        <v>114</v>
      </c>
      <c r="BT58" s="201" t="s">
        <v>114</v>
      </c>
      <c r="BU58" s="183" t="s">
        <v>114</v>
      </c>
      <c r="BV58" s="199"/>
      <c r="BW58" s="199"/>
      <c r="BX58" s="200"/>
      <c r="BY58" s="201" t="s">
        <v>114</v>
      </c>
      <c r="BZ58" s="201" t="s">
        <v>114</v>
      </c>
      <c r="CA58" s="183" t="s">
        <v>114</v>
      </c>
    </row>
    <row r="59" spans="2:79" x14ac:dyDescent="0.25">
      <c r="B59" s="164">
        <v>42217</v>
      </c>
      <c r="C59" s="165">
        <v>31</v>
      </c>
      <c r="D59" s="172">
        <v>42.89</v>
      </c>
      <c r="E59" s="167">
        <v>1.3149</v>
      </c>
      <c r="F59" s="168">
        <v>-3.8</v>
      </c>
      <c r="G59" s="169">
        <v>-0.32340000000000002</v>
      </c>
      <c r="H59" s="170">
        <f t="shared" si="66"/>
        <v>39.050916042699541</v>
      </c>
      <c r="I59" s="168">
        <f t="shared" si="67"/>
        <v>323.12660028567001</v>
      </c>
      <c r="J59" s="168">
        <f t="shared" si="55"/>
        <v>323.45000028567</v>
      </c>
      <c r="K59" s="171">
        <f t="shared" si="56"/>
        <v>0.91140125903474012</v>
      </c>
      <c r="L59" s="172">
        <f t="shared" si="68"/>
        <v>2.4399999999999995</v>
      </c>
      <c r="M59" s="168">
        <v>-1.36</v>
      </c>
      <c r="N59" s="168">
        <f t="shared" si="57"/>
        <v>41.093272428890891</v>
      </c>
      <c r="O59" s="174">
        <f t="shared" si="58"/>
        <v>340.02606750738994</v>
      </c>
      <c r="P59" s="174">
        <f t="shared" si="59"/>
        <v>343.63976750738993</v>
      </c>
      <c r="Q59" s="175">
        <f t="shared" si="60"/>
        <v>0.9682909769176965</v>
      </c>
      <c r="R59" s="176"/>
      <c r="S59" s="177"/>
      <c r="T59" s="178">
        <f t="shared" si="61"/>
        <v>351.27938038506994</v>
      </c>
      <c r="U59" s="178">
        <f t="shared" si="62"/>
        <v>354.89308038506994</v>
      </c>
      <c r="V59" s="177"/>
      <c r="W59" s="176"/>
      <c r="X59" s="179">
        <v>-3.6137000000000001</v>
      </c>
      <c r="Y59" s="180">
        <v>0.25</v>
      </c>
      <c r="Z59" s="181"/>
      <c r="AA59" s="182">
        <v>-13.41</v>
      </c>
      <c r="AB59" s="182">
        <f t="shared" si="69"/>
        <v>243.813509443746</v>
      </c>
      <c r="AC59" s="183">
        <f t="shared" si="70"/>
        <v>29.48</v>
      </c>
      <c r="AD59" s="184"/>
      <c r="AE59" s="184"/>
      <c r="AF59" s="184"/>
      <c r="AG59" s="185">
        <f t="shared" si="85"/>
        <v>9.61</v>
      </c>
      <c r="AH59" s="244">
        <f t="shared" si="64"/>
        <v>0.68733970622522733</v>
      </c>
      <c r="AI59" s="245"/>
      <c r="AJ59" s="246"/>
      <c r="AK59" s="166"/>
      <c r="AL59" s="190"/>
      <c r="AM59" s="191"/>
      <c r="AN59" s="192"/>
      <c r="AO59" s="168"/>
      <c r="AP59" s="193"/>
      <c r="AQ59" s="165"/>
      <c r="AR59" s="194">
        <v>0</v>
      </c>
      <c r="AS59" s="195">
        <v>0</v>
      </c>
      <c r="AT59" s="196">
        <f t="shared" si="71"/>
        <v>42.89</v>
      </c>
      <c r="AU59" s="197">
        <f t="shared" si="72"/>
        <v>354.89308038506999</v>
      </c>
      <c r="AV59" s="197">
        <f t="shared" si="73"/>
        <v>354.89308038506999</v>
      </c>
      <c r="AW59" s="198"/>
      <c r="AX59" s="194">
        <v>0</v>
      </c>
      <c r="AY59" s="195">
        <v>0</v>
      </c>
      <c r="AZ59" s="196">
        <f t="shared" si="74"/>
        <v>42.89</v>
      </c>
      <c r="BA59" s="197">
        <f t="shared" si="75"/>
        <v>354.89308038506999</v>
      </c>
      <c r="BB59" s="197">
        <f t="shared" si="76"/>
        <v>354.89308038506999</v>
      </c>
      <c r="BC59" s="198"/>
      <c r="BD59" s="194">
        <v>0</v>
      </c>
      <c r="BE59" s="195">
        <v>0</v>
      </c>
      <c r="BF59" s="196">
        <f t="shared" si="77"/>
        <v>42.89</v>
      </c>
      <c r="BG59" s="197">
        <f t="shared" si="78"/>
        <v>354.89308038506999</v>
      </c>
      <c r="BH59" s="197">
        <f t="shared" si="79"/>
        <v>354.89308038506999</v>
      </c>
      <c r="BI59" s="198"/>
      <c r="BJ59" s="194">
        <v>0</v>
      </c>
      <c r="BK59" s="195">
        <v>0</v>
      </c>
      <c r="BL59" s="196">
        <f t="shared" si="80"/>
        <v>42.89</v>
      </c>
      <c r="BM59" s="197">
        <f t="shared" si="81"/>
        <v>354.89308038506999</v>
      </c>
      <c r="BN59" s="197">
        <f t="shared" si="82"/>
        <v>354.89308038506999</v>
      </c>
      <c r="BO59" s="198"/>
      <c r="BP59" s="201">
        <f t="shared" si="65"/>
        <v>-13.16</v>
      </c>
      <c r="BQ59" s="199"/>
      <c r="BR59" s="200"/>
      <c r="BS59" s="201" t="s">
        <v>114</v>
      </c>
      <c r="BT59" s="201" t="s">
        <v>114</v>
      </c>
      <c r="BU59" s="183" t="s">
        <v>114</v>
      </c>
      <c r="BV59" s="199"/>
      <c r="BW59" s="199"/>
      <c r="BX59" s="200"/>
      <c r="BY59" s="201" t="s">
        <v>114</v>
      </c>
      <c r="BZ59" s="201" t="s">
        <v>114</v>
      </c>
      <c r="CA59" s="183" t="s">
        <v>114</v>
      </c>
    </row>
    <row r="60" spans="2:79" x14ac:dyDescent="0.25">
      <c r="B60" s="164">
        <v>42248</v>
      </c>
      <c r="C60" s="165">
        <v>30</v>
      </c>
      <c r="D60" s="172">
        <v>45.47</v>
      </c>
      <c r="E60" s="167">
        <v>1.3267</v>
      </c>
      <c r="F60" s="168">
        <v>-6.03</v>
      </c>
      <c r="G60" s="169">
        <v>-0.65490000000000004</v>
      </c>
      <c r="H60" s="170">
        <f t="shared" si="66"/>
        <v>39.361557125239173</v>
      </c>
      <c r="I60" s="168">
        <f t="shared" si="67"/>
        <v>328.61982480775998</v>
      </c>
      <c r="J60" s="168">
        <f t="shared" si="55"/>
        <v>329.27472480775998</v>
      </c>
      <c r="K60" s="171">
        <f t="shared" si="56"/>
        <v>0.86738508906971623</v>
      </c>
      <c r="L60" s="172">
        <f t="shared" si="68"/>
        <v>5.07</v>
      </c>
      <c r="M60" s="168">
        <v>-0.96</v>
      </c>
      <c r="N60" s="168">
        <f t="shared" si="57"/>
        <v>43.31731855070479</v>
      </c>
      <c r="O60" s="174">
        <f t="shared" si="58"/>
        <v>361.64549049678999</v>
      </c>
      <c r="P60" s="174">
        <f t="shared" si="59"/>
        <v>371.60289049679</v>
      </c>
      <c r="Q60" s="175">
        <f t="shared" si="60"/>
        <v>0.97888717835935779</v>
      </c>
      <c r="R60" s="176"/>
      <c r="S60" s="177"/>
      <c r="T60" s="178">
        <f t="shared" si="61"/>
        <v>369.66029110062999</v>
      </c>
      <c r="U60" s="178">
        <f t="shared" si="62"/>
        <v>379.61769110063</v>
      </c>
      <c r="V60" s="177"/>
      <c r="W60" s="176"/>
      <c r="X60" s="179">
        <v>-9.9573999999999998</v>
      </c>
      <c r="Y60" s="180">
        <v>0.38</v>
      </c>
      <c r="Z60" s="181"/>
      <c r="AA60" s="182">
        <v>-18.97</v>
      </c>
      <c r="AB60" s="182">
        <f t="shared" si="69"/>
        <v>221.13432714427501</v>
      </c>
      <c r="AC60" s="183">
        <f t="shared" si="70"/>
        <v>26.5</v>
      </c>
      <c r="AD60" s="184"/>
      <c r="AE60" s="184"/>
      <c r="AF60" s="184"/>
      <c r="AG60" s="185">
        <f t="shared" si="85"/>
        <v>12.939999999999998</v>
      </c>
      <c r="AH60" s="244">
        <f t="shared" si="64"/>
        <v>0.58280184737189356</v>
      </c>
      <c r="AI60" s="245"/>
      <c r="AJ60" s="246"/>
      <c r="AK60" s="166"/>
      <c r="AL60" s="190"/>
      <c r="AM60" s="191"/>
      <c r="AN60" s="192"/>
      <c r="AO60" s="168"/>
      <c r="AP60" s="193"/>
      <c r="AQ60" s="165"/>
      <c r="AR60" s="194">
        <v>0</v>
      </c>
      <c r="AS60" s="195">
        <v>0</v>
      </c>
      <c r="AT60" s="196">
        <f t="shared" si="71"/>
        <v>45.47</v>
      </c>
      <c r="AU60" s="197">
        <f t="shared" si="72"/>
        <v>379.61769110062994</v>
      </c>
      <c r="AV60" s="197">
        <f t="shared" si="73"/>
        <v>379.61769110062994</v>
      </c>
      <c r="AW60" s="198"/>
      <c r="AX60" s="194">
        <v>0</v>
      </c>
      <c r="AY60" s="195">
        <v>0</v>
      </c>
      <c r="AZ60" s="196">
        <f t="shared" si="74"/>
        <v>45.47</v>
      </c>
      <c r="BA60" s="197">
        <f t="shared" si="75"/>
        <v>379.61769110062994</v>
      </c>
      <c r="BB60" s="197">
        <f t="shared" si="76"/>
        <v>379.61769110062994</v>
      </c>
      <c r="BC60" s="198"/>
      <c r="BD60" s="194">
        <v>0</v>
      </c>
      <c r="BE60" s="195">
        <v>0</v>
      </c>
      <c r="BF60" s="196">
        <f t="shared" si="77"/>
        <v>45.47</v>
      </c>
      <c r="BG60" s="197">
        <f t="shared" si="78"/>
        <v>379.61769110062994</v>
      </c>
      <c r="BH60" s="197">
        <f t="shared" si="79"/>
        <v>379.61769110062994</v>
      </c>
      <c r="BI60" s="198"/>
      <c r="BJ60" s="194">
        <v>0</v>
      </c>
      <c r="BK60" s="195">
        <v>0</v>
      </c>
      <c r="BL60" s="196">
        <f t="shared" si="80"/>
        <v>45.47</v>
      </c>
      <c r="BM60" s="197">
        <f t="shared" si="81"/>
        <v>379.61769110062994</v>
      </c>
      <c r="BN60" s="197">
        <f t="shared" si="82"/>
        <v>379.61769110062994</v>
      </c>
      <c r="BO60" s="198"/>
      <c r="BP60" s="201">
        <f t="shared" si="65"/>
        <v>-18.72</v>
      </c>
      <c r="BQ60" s="199"/>
      <c r="BR60" s="200"/>
      <c r="BS60" s="201" t="s">
        <v>114</v>
      </c>
      <c r="BT60" s="201" t="s">
        <v>114</v>
      </c>
      <c r="BU60" s="183" t="s">
        <v>114</v>
      </c>
      <c r="BV60" s="199"/>
      <c r="BW60" s="199"/>
      <c r="BX60" s="200"/>
      <c r="BY60" s="201" t="s">
        <v>114</v>
      </c>
      <c r="BZ60" s="201" t="s">
        <v>114</v>
      </c>
      <c r="CA60" s="183" t="s">
        <v>114</v>
      </c>
    </row>
    <row r="61" spans="2:79" x14ac:dyDescent="0.25">
      <c r="B61" s="164">
        <v>42278</v>
      </c>
      <c r="C61" s="165">
        <v>31</v>
      </c>
      <c r="D61" s="172">
        <v>46.29</v>
      </c>
      <c r="E61" s="167">
        <v>1.3072999999999999</v>
      </c>
      <c r="F61" s="168">
        <v>-2.89</v>
      </c>
      <c r="G61" s="169">
        <v>-1.0219</v>
      </c>
      <c r="H61" s="170">
        <f t="shared" si="66"/>
        <v>43.275782044216591</v>
      </c>
      <c r="I61" s="168">
        <f t="shared" si="67"/>
        <v>356.0155324733999</v>
      </c>
      <c r="J61" s="168">
        <f t="shared" si="55"/>
        <v>357.03743247339992</v>
      </c>
      <c r="K61" s="171">
        <f t="shared" si="56"/>
        <v>0.93756750918124865</v>
      </c>
      <c r="L61" s="172">
        <f t="shared" si="68"/>
        <v>2.35</v>
      </c>
      <c r="M61" s="168">
        <v>-0.54</v>
      </c>
      <c r="N61" s="168">
        <f t="shared" si="57"/>
        <v>44.390871528124286</v>
      </c>
      <c r="O61" s="174">
        <f t="shared" si="58"/>
        <v>365.18900450824992</v>
      </c>
      <c r="P61" s="174">
        <f t="shared" si="59"/>
        <v>376.37010450824994</v>
      </c>
      <c r="Q61" s="175">
        <f t="shared" si="60"/>
        <v>0.98833441348023332</v>
      </c>
      <c r="R61" s="176"/>
      <c r="S61" s="177"/>
      <c r="T61" s="178">
        <f t="shared" si="61"/>
        <v>369.63140574178993</v>
      </c>
      <c r="U61" s="178">
        <f t="shared" si="62"/>
        <v>380.81250574178995</v>
      </c>
      <c r="V61" s="177"/>
      <c r="W61" s="176"/>
      <c r="X61" s="179">
        <v>-11.181100000000001</v>
      </c>
      <c r="Y61" s="180">
        <v>0.26</v>
      </c>
      <c r="Z61" s="181"/>
      <c r="AA61" s="182">
        <v>-13.51</v>
      </c>
      <c r="AB61" s="182">
        <f t="shared" si="69"/>
        <v>269.53909856078695</v>
      </c>
      <c r="AC61" s="183">
        <f t="shared" si="70"/>
        <v>32.78</v>
      </c>
      <c r="AD61" s="184"/>
      <c r="AE61" s="184"/>
      <c r="AF61" s="184"/>
      <c r="AG61" s="185">
        <f t="shared" si="85"/>
        <v>10.62</v>
      </c>
      <c r="AH61" s="244">
        <f t="shared" si="64"/>
        <v>0.70814430762583713</v>
      </c>
      <c r="AI61" s="245"/>
      <c r="AJ61" s="246"/>
      <c r="AK61" s="166"/>
      <c r="AL61" s="190"/>
      <c r="AM61" s="191"/>
      <c r="AN61" s="192"/>
      <c r="AO61" s="168"/>
      <c r="AP61" s="193"/>
      <c r="AQ61" s="165"/>
      <c r="AR61" s="194">
        <v>0</v>
      </c>
      <c r="AS61" s="195">
        <v>0</v>
      </c>
      <c r="AT61" s="196">
        <f t="shared" si="71"/>
        <v>46.29</v>
      </c>
      <c r="AU61" s="197">
        <f t="shared" si="72"/>
        <v>380.81250574178995</v>
      </c>
      <c r="AV61" s="197">
        <f t="shared" si="73"/>
        <v>380.81250574178995</v>
      </c>
      <c r="AW61" s="198"/>
      <c r="AX61" s="194">
        <v>0</v>
      </c>
      <c r="AY61" s="195">
        <v>0</v>
      </c>
      <c r="AZ61" s="196">
        <f t="shared" si="74"/>
        <v>46.29</v>
      </c>
      <c r="BA61" s="197">
        <f t="shared" si="75"/>
        <v>380.81250574178995</v>
      </c>
      <c r="BB61" s="197">
        <f t="shared" si="76"/>
        <v>380.81250574178995</v>
      </c>
      <c r="BC61" s="198"/>
      <c r="BD61" s="194">
        <v>0</v>
      </c>
      <c r="BE61" s="195">
        <v>0</v>
      </c>
      <c r="BF61" s="196">
        <f t="shared" si="77"/>
        <v>46.29</v>
      </c>
      <c r="BG61" s="197">
        <f t="shared" si="78"/>
        <v>380.81250574178995</v>
      </c>
      <c r="BH61" s="197">
        <f t="shared" si="79"/>
        <v>380.81250574178995</v>
      </c>
      <c r="BI61" s="198"/>
      <c r="BJ61" s="194">
        <v>0</v>
      </c>
      <c r="BK61" s="195">
        <v>0</v>
      </c>
      <c r="BL61" s="196">
        <f t="shared" si="80"/>
        <v>46.29</v>
      </c>
      <c r="BM61" s="197">
        <f t="shared" si="81"/>
        <v>380.81250574178995</v>
      </c>
      <c r="BN61" s="197">
        <f t="shared" si="82"/>
        <v>380.81250574178995</v>
      </c>
      <c r="BO61" s="198"/>
      <c r="BP61" s="201">
        <f t="shared" si="65"/>
        <v>-13.26</v>
      </c>
      <c r="BQ61" s="199"/>
      <c r="BR61" s="200"/>
      <c r="BS61" s="201" t="s">
        <v>114</v>
      </c>
      <c r="BT61" s="201" t="s">
        <v>114</v>
      </c>
      <c r="BU61" s="183" t="s">
        <v>114</v>
      </c>
      <c r="BV61" s="199"/>
      <c r="BW61" s="199"/>
      <c r="BX61" s="200"/>
      <c r="BY61" s="201" t="s">
        <v>114</v>
      </c>
      <c r="BZ61" s="201" t="s">
        <v>114</v>
      </c>
      <c r="CA61" s="183" t="s">
        <v>114</v>
      </c>
    </row>
    <row r="62" spans="2:79" x14ac:dyDescent="0.25">
      <c r="B62" s="164">
        <v>42309</v>
      </c>
      <c r="C62" s="165">
        <v>30</v>
      </c>
      <c r="D62" s="172">
        <v>42.92</v>
      </c>
      <c r="E62" s="167">
        <v>1.3280000000000001</v>
      </c>
      <c r="F62" s="168">
        <v>-2.0299999999999998</v>
      </c>
      <c r="G62" s="169">
        <v>-1.0414000000000001</v>
      </c>
      <c r="H62" s="170">
        <f t="shared" si="66"/>
        <v>40.765384880509536</v>
      </c>
      <c r="I62" s="168">
        <f t="shared" si="67"/>
        <v>340.67352331040001</v>
      </c>
      <c r="J62" s="168">
        <f t="shared" si="55"/>
        <v>341.71492331040002</v>
      </c>
      <c r="K62" s="171">
        <f t="shared" si="56"/>
        <v>0.95270270270270263</v>
      </c>
      <c r="L62" s="172">
        <f t="shared" si="68"/>
        <v>0.9099999999999997</v>
      </c>
      <c r="M62" s="168">
        <v>-1.1200000000000001</v>
      </c>
      <c r="N62" s="168">
        <f t="shared" si="57"/>
        <v>41.122011901746667</v>
      </c>
      <c r="O62" s="174">
        <f t="shared" si="58"/>
        <v>343.65383084799998</v>
      </c>
      <c r="P62" s="174">
        <f t="shared" si="59"/>
        <v>349.31973084800001</v>
      </c>
      <c r="Q62" s="175">
        <f t="shared" si="60"/>
        <v>0.97390493942218082</v>
      </c>
      <c r="R62" s="176"/>
      <c r="S62" s="177"/>
      <c r="T62" s="178">
        <f t="shared" si="61"/>
        <v>353.01359397120001</v>
      </c>
      <c r="U62" s="178">
        <f t="shared" si="62"/>
        <v>358.67949397120003</v>
      </c>
      <c r="V62" s="177"/>
      <c r="W62" s="176"/>
      <c r="X62" s="179">
        <v>-5.6658999999999997</v>
      </c>
      <c r="Y62" s="180">
        <v>0.28999999999999998</v>
      </c>
      <c r="Z62" s="181"/>
      <c r="AA62" s="182">
        <v>-15.14</v>
      </c>
      <c r="AB62" s="182">
        <f t="shared" si="69"/>
        <v>232.04268259631999</v>
      </c>
      <c r="AC62" s="183">
        <f t="shared" si="70"/>
        <v>27.78</v>
      </c>
      <c r="AD62" s="184"/>
      <c r="AE62" s="184"/>
      <c r="AF62" s="184"/>
      <c r="AG62" s="185">
        <f t="shared" si="85"/>
        <v>13.110000000000001</v>
      </c>
      <c r="AH62" s="244">
        <f t="shared" si="64"/>
        <v>0.64725069897483689</v>
      </c>
      <c r="AI62" s="245"/>
      <c r="AJ62" s="246"/>
      <c r="AK62" s="166"/>
      <c r="AL62" s="190"/>
      <c r="AM62" s="191"/>
      <c r="AN62" s="192"/>
      <c r="AO62" s="168"/>
      <c r="AP62" s="193"/>
      <c r="AQ62" s="165"/>
      <c r="AR62" s="194">
        <v>0</v>
      </c>
      <c r="AS62" s="195">
        <v>0</v>
      </c>
      <c r="AT62" s="196">
        <f t="shared" si="71"/>
        <v>42.92</v>
      </c>
      <c r="AU62" s="197">
        <f t="shared" si="72"/>
        <v>358.67949397120003</v>
      </c>
      <c r="AV62" s="197">
        <f t="shared" si="73"/>
        <v>358.67949397120003</v>
      </c>
      <c r="AW62" s="198"/>
      <c r="AX62" s="194">
        <v>0</v>
      </c>
      <c r="AY62" s="195">
        <v>0</v>
      </c>
      <c r="AZ62" s="196">
        <f t="shared" si="74"/>
        <v>42.92</v>
      </c>
      <c r="BA62" s="197">
        <f t="shared" si="75"/>
        <v>358.67949397120003</v>
      </c>
      <c r="BB62" s="197">
        <f t="shared" si="76"/>
        <v>358.67949397120003</v>
      </c>
      <c r="BC62" s="198"/>
      <c r="BD62" s="194">
        <v>0</v>
      </c>
      <c r="BE62" s="195">
        <v>0</v>
      </c>
      <c r="BF62" s="196">
        <f t="shared" si="77"/>
        <v>42.92</v>
      </c>
      <c r="BG62" s="197">
        <f t="shared" si="78"/>
        <v>358.67949397120003</v>
      </c>
      <c r="BH62" s="197">
        <f t="shared" si="79"/>
        <v>358.67949397120003</v>
      </c>
      <c r="BI62" s="198"/>
      <c r="BJ62" s="194">
        <v>0</v>
      </c>
      <c r="BK62" s="195">
        <v>0</v>
      </c>
      <c r="BL62" s="196">
        <f t="shared" si="80"/>
        <v>42.92</v>
      </c>
      <c r="BM62" s="197">
        <f t="shared" si="81"/>
        <v>358.67949397120003</v>
      </c>
      <c r="BN62" s="197">
        <f t="shared" si="82"/>
        <v>358.67949397120003</v>
      </c>
      <c r="BO62" s="198"/>
      <c r="BP62" s="201">
        <f t="shared" si="65"/>
        <v>-14.89</v>
      </c>
      <c r="BQ62" s="199"/>
      <c r="BR62" s="200"/>
      <c r="BS62" s="201" t="s">
        <v>114</v>
      </c>
      <c r="BT62" s="201" t="s">
        <v>114</v>
      </c>
      <c r="BU62" s="183" t="s">
        <v>114</v>
      </c>
      <c r="BV62" s="199"/>
      <c r="BW62" s="199"/>
      <c r="BX62" s="200"/>
      <c r="BY62" s="201" t="s">
        <v>114</v>
      </c>
      <c r="BZ62" s="201" t="s">
        <v>114</v>
      </c>
      <c r="CA62" s="183" t="s">
        <v>114</v>
      </c>
    </row>
    <row r="63" spans="2:79" x14ac:dyDescent="0.25">
      <c r="B63" s="202">
        <v>42339</v>
      </c>
      <c r="C63" s="203">
        <v>31</v>
      </c>
      <c r="D63" s="210">
        <v>37.33</v>
      </c>
      <c r="E63" s="205">
        <v>1.3705000000000001</v>
      </c>
      <c r="F63" s="206">
        <v>-2.4500000000000002</v>
      </c>
      <c r="G63" s="207">
        <v>0.14549999999999999</v>
      </c>
      <c r="H63" s="208">
        <f t="shared" si="66"/>
        <v>34.896870781214403</v>
      </c>
      <c r="I63" s="206">
        <f t="shared" si="67"/>
        <v>300.96381632480001</v>
      </c>
      <c r="J63" s="206">
        <f t="shared" si="55"/>
        <v>300.81831632479998</v>
      </c>
      <c r="K63" s="209">
        <f t="shared" si="56"/>
        <v>0.93436914010179473</v>
      </c>
      <c r="L63" s="210">
        <f t="shared" si="68"/>
        <v>2.58</v>
      </c>
      <c r="M63" s="206">
        <v>0.13</v>
      </c>
      <c r="N63" s="206">
        <f t="shared" si="57"/>
        <v>37.143548205564663</v>
      </c>
      <c r="O63" s="212">
        <f t="shared" si="58"/>
        <v>320.3400124291</v>
      </c>
      <c r="P63" s="212">
        <f t="shared" si="59"/>
        <v>323.06921242909999</v>
      </c>
      <c r="Q63" s="213">
        <f t="shared" si="60"/>
        <v>1.0034824537905171</v>
      </c>
      <c r="R63" s="214"/>
      <c r="S63" s="215"/>
      <c r="T63" s="216">
        <f t="shared" si="61"/>
        <v>319.21884324554998</v>
      </c>
      <c r="U63" s="216">
        <f t="shared" si="62"/>
        <v>321.94804324554997</v>
      </c>
      <c r="V63" s="215"/>
      <c r="W63" s="214"/>
      <c r="X63" s="217">
        <v>-2.7292000000000001</v>
      </c>
      <c r="Y63" s="218">
        <v>0.33</v>
      </c>
      <c r="Z63" s="219"/>
      <c r="AA63" s="220">
        <v>-14.82</v>
      </c>
      <c r="AB63" s="220">
        <f t="shared" si="69"/>
        <v>194.04037088352749</v>
      </c>
      <c r="AC63" s="221">
        <f t="shared" si="70"/>
        <v>22.509999999999998</v>
      </c>
      <c r="AD63" s="222"/>
      <c r="AE63" s="222"/>
      <c r="AF63" s="222"/>
      <c r="AG63" s="223">
        <f t="shared" si="85"/>
        <v>12.370000000000001</v>
      </c>
      <c r="AH63" s="247">
        <f t="shared" si="64"/>
        <v>0.60300026788106076</v>
      </c>
      <c r="AI63" s="248"/>
      <c r="AJ63" s="243"/>
      <c r="AK63" s="204"/>
      <c r="AL63" s="228"/>
      <c r="AM63" s="229"/>
      <c r="AN63" s="230"/>
      <c r="AO63" s="206"/>
      <c r="AP63" s="231"/>
      <c r="AQ63" s="203"/>
      <c r="AR63" s="232">
        <v>0</v>
      </c>
      <c r="AS63" s="233">
        <v>0</v>
      </c>
      <c r="AT63" s="234">
        <f t="shared" si="71"/>
        <v>37.330000000000005</v>
      </c>
      <c r="AU63" s="235">
        <f t="shared" si="72"/>
        <v>321.94804324555002</v>
      </c>
      <c r="AV63" s="235">
        <f t="shared" si="73"/>
        <v>321.94804324555002</v>
      </c>
      <c r="AW63" s="236"/>
      <c r="AX63" s="232">
        <v>0</v>
      </c>
      <c r="AY63" s="233">
        <v>0</v>
      </c>
      <c r="AZ63" s="234">
        <f t="shared" si="74"/>
        <v>37.330000000000005</v>
      </c>
      <c r="BA63" s="235">
        <f t="shared" si="75"/>
        <v>321.94804324555002</v>
      </c>
      <c r="BB63" s="235">
        <f t="shared" si="76"/>
        <v>321.94804324555002</v>
      </c>
      <c r="BC63" s="236"/>
      <c r="BD63" s="232">
        <v>0</v>
      </c>
      <c r="BE63" s="233">
        <v>0</v>
      </c>
      <c r="BF63" s="234">
        <f t="shared" si="77"/>
        <v>37.330000000000005</v>
      </c>
      <c r="BG63" s="235">
        <f t="shared" si="78"/>
        <v>321.94804324555002</v>
      </c>
      <c r="BH63" s="235">
        <f t="shared" si="79"/>
        <v>321.94804324555002</v>
      </c>
      <c r="BI63" s="236"/>
      <c r="BJ63" s="232">
        <v>0</v>
      </c>
      <c r="BK63" s="233">
        <v>0</v>
      </c>
      <c r="BL63" s="234">
        <f t="shared" si="80"/>
        <v>37.330000000000005</v>
      </c>
      <c r="BM63" s="235">
        <f t="shared" si="81"/>
        <v>321.94804324555002</v>
      </c>
      <c r="BN63" s="235">
        <f t="shared" si="82"/>
        <v>321.94804324555002</v>
      </c>
      <c r="BO63" s="236"/>
      <c r="BP63" s="239">
        <f t="shared" si="65"/>
        <v>-14.57</v>
      </c>
      <c r="BQ63" s="237"/>
      <c r="BR63" s="238"/>
      <c r="BS63" s="239" t="s">
        <v>114</v>
      </c>
      <c r="BT63" s="239" t="s">
        <v>114</v>
      </c>
      <c r="BU63" s="221" t="s">
        <v>114</v>
      </c>
      <c r="BV63" s="237"/>
      <c r="BW63" s="237"/>
      <c r="BX63" s="238"/>
      <c r="BY63" s="239" t="s">
        <v>114</v>
      </c>
      <c r="BZ63" s="239" t="s">
        <v>114</v>
      </c>
      <c r="CA63" s="221" t="s">
        <v>114</v>
      </c>
    </row>
    <row r="64" spans="2:79" x14ac:dyDescent="0.25">
      <c r="B64" s="164">
        <v>42370</v>
      </c>
      <c r="C64" s="165">
        <f>C52</f>
        <v>31</v>
      </c>
      <c r="D64" s="172">
        <v>31.78</v>
      </c>
      <c r="E64" s="167">
        <v>1.4222999999999999</v>
      </c>
      <c r="F64" s="168">
        <v>-3.58</v>
      </c>
      <c r="G64" s="169">
        <v>-0.79700000000000004</v>
      </c>
      <c r="H64" s="170">
        <f t="shared" si="66"/>
        <v>28.110953193008346</v>
      </c>
      <c r="I64" s="168">
        <f t="shared" si="67"/>
        <v>251.60284182819998</v>
      </c>
      <c r="J64" s="168">
        <f t="shared" si="55"/>
        <v>252.39984182819998</v>
      </c>
      <c r="K64" s="171">
        <f t="shared" si="56"/>
        <v>0.8873505349276275</v>
      </c>
      <c r="L64" s="172">
        <f t="shared" si="68"/>
        <v>6.43</v>
      </c>
      <c r="M64" s="168">
        <v>2.85</v>
      </c>
      <c r="N64" s="168">
        <f t="shared" si="57"/>
        <v>34.21855235705462</v>
      </c>
      <c r="O64" s="174">
        <f t="shared" si="58"/>
        <v>306.26798590463</v>
      </c>
      <c r="P64" s="174">
        <f t="shared" si="59"/>
        <v>309.95058590462997</v>
      </c>
      <c r="Q64" s="249">
        <f t="shared" si="60"/>
        <v>1.0896790434235368</v>
      </c>
      <c r="R64" s="250"/>
      <c r="S64" s="251"/>
      <c r="T64" s="178">
        <f t="shared" si="61"/>
        <v>280.75949125177999</v>
      </c>
      <c r="U64" s="178">
        <f t="shared" si="62"/>
        <v>284.44209125177997</v>
      </c>
      <c r="V64" s="251"/>
      <c r="W64" s="250"/>
      <c r="X64" s="179">
        <v>-3.6825999999999999</v>
      </c>
      <c r="Y64" s="180">
        <v>0.39</v>
      </c>
      <c r="Z64" s="181"/>
      <c r="AA64" s="182">
        <v>-13.9</v>
      </c>
      <c r="AB64" s="182">
        <f t="shared" si="69"/>
        <v>159.95443483780201</v>
      </c>
      <c r="AC64" s="183">
        <f t="shared" si="70"/>
        <v>17.880000000000003</v>
      </c>
      <c r="AD64" s="184"/>
      <c r="AE64" s="184"/>
      <c r="AF64" s="184"/>
      <c r="AG64" s="185">
        <f t="shared" si="85"/>
        <v>10.32</v>
      </c>
      <c r="AH64" s="186">
        <f t="shared" si="64"/>
        <v>0.56261799874134677</v>
      </c>
      <c r="AI64" s="187"/>
      <c r="AJ64" s="242">
        <v>0.75</v>
      </c>
      <c r="AK64" s="127">
        <f t="shared" ref="AK64:AK99" si="86">AL64/(6.29287*E64)</f>
        <v>23.835000000000001</v>
      </c>
      <c r="AL64" s="190">
        <f t="shared" ref="AL64:AL127" si="87">(AJ64*D64)*6.29287*E64</f>
        <v>213.33156843883498</v>
      </c>
      <c r="AM64" s="191"/>
      <c r="AN64" s="178"/>
      <c r="AO64" s="168"/>
      <c r="AP64" s="174"/>
      <c r="AQ64" s="252"/>
      <c r="AR64" s="194">
        <v>0</v>
      </c>
      <c r="AS64" s="195">
        <v>0</v>
      </c>
      <c r="AT64" s="196">
        <f t="shared" si="71"/>
        <v>31.779999999999998</v>
      </c>
      <c r="AU64" s="197">
        <f t="shared" si="72"/>
        <v>284.44209125177997</v>
      </c>
      <c r="AV64" s="197">
        <f t="shared" si="73"/>
        <v>284.44209125177997</v>
      </c>
      <c r="AW64" s="198"/>
      <c r="AX64" s="194">
        <v>0</v>
      </c>
      <c r="AY64" s="195">
        <v>0</v>
      </c>
      <c r="AZ64" s="196">
        <f t="shared" si="74"/>
        <v>31.779999999999998</v>
      </c>
      <c r="BA64" s="197">
        <f t="shared" si="75"/>
        <v>284.44209125177997</v>
      </c>
      <c r="BB64" s="197">
        <f t="shared" si="76"/>
        <v>284.44209125177997</v>
      </c>
      <c r="BC64" s="198"/>
      <c r="BD64" s="194">
        <v>0</v>
      </c>
      <c r="BE64" s="195">
        <v>0</v>
      </c>
      <c r="BF64" s="196">
        <f t="shared" si="77"/>
        <v>31.779999999999998</v>
      </c>
      <c r="BG64" s="197">
        <f t="shared" si="78"/>
        <v>284.44209125177997</v>
      </c>
      <c r="BH64" s="197">
        <f t="shared" si="79"/>
        <v>284.44209125177997</v>
      </c>
      <c r="BI64" s="198"/>
      <c r="BJ64" s="194">
        <v>0</v>
      </c>
      <c r="BK64" s="195">
        <v>0</v>
      </c>
      <c r="BL64" s="196">
        <f t="shared" si="80"/>
        <v>31.779999999999998</v>
      </c>
      <c r="BM64" s="197">
        <f t="shared" si="81"/>
        <v>284.44209125177997</v>
      </c>
      <c r="BN64" s="197">
        <f t="shared" si="82"/>
        <v>284.44209125177997</v>
      </c>
      <c r="BO64" s="198"/>
      <c r="BP64" s="201">
        <f t="shared" si="65"/>
        <v>-13.65</v>
      </c>
      <c r="BQ64" s="199"/>
      <c r="BR64" s="200"/>
      <c r="BS64" s="201" t="s">
        <v>114</v>
      </c>
      <c r="BT64" s="201" t="s">
        <v>114</v>
      </c>
      <c r="BU64" s="183" t="s">
        <v>114</v>
      </c>
      <c r="BV64" s="199"/>
      <c r="BW64" s="199"/>
      <c r="BX64" s="200"/>
      <c r="BY64" s="201" t="s">
        <v>114</v>
      </c>
      <c r="BZ64" s="201" t="s">
        <v>114</v>
      </c>
      <c r="CA64" s="183" t="s">
        <v>114</v>
      </c>
    </row>
    <row r="65" spans="2:79" x14ac:dyDescent="0.25">
      <c r="B65" s="164">
        <v>42401</v>
      </c>
      <c r="C65" s="165">
        <v>29</v>
      </c>
      <c r="D65" s="172">
        <v>30.62</v>
      </c>
      <c r="E65" s="167">
        <v>1.3795999999999999</v>
      </c>
      <c r="F65" s="168">
        <v>-4.08</v>
      </c>
      <c r="G65" s="169">
        <v>-0.94740000000000002</v>
      </c>
      <c r="H65" s="170">
        <f t="shared" si="66"/>
        <v>26.430873196389822</v>
      </c>
      <c r="I65" s="168">
        <f t="shared" si="67"/>
        <v>229.46341721607999</v>
      </c>
      <c r="J65" s="168">
        <f t="shared" si="55"/>
        <v>230.41081721607998</v>
      </c>
      <c r="K65" s="171">
        <f t="shared" si="56"/>
        <v>0.86675375571521873</v>
      </c>
      <c r="L65" s="172">
        <f t="shared" si="68"/>
        <v>5.33</v>
      </c>
      <c r="M65" s="168">
        <v>1.25</v>
      </c>
      <c r="N65" s="168">
        <f t="shared" si="57"/>
        <v>31.321463305728948</v>
      </c>
      <c r="O65" s="174">
        <f t="shared" si="58"/>
        <v>271.92177681523998</v>
      </c>
      <c r="P65" s="174">
        <f t="shared" si="59"/>
        <v>276.68397681523999</v>
      </c>
      <c r="Q65" s="249">
        <f t="shared" si="60"/>
        <v>1.0408229915088179</v>
      </c>
      <c r="R65" s="250"/>
      <c r="S65" s="251"/>
      <c r="T65" s="178">
        <f t="shared" si="61"/>
        <v>261.06972250024</v>
      </c>
      <c r="U65" s="178">
        <f t="shared" si="62"/>
        <v>265.83192250024001</v>
      </c>
      <c r="V65" s="251"/>
      <c r="W65" s="250"/>
      <c r="X65" s="179">
        <v>-4.7622</v>
      </c>
      <c r="Y65" s="180">
        <v>0.33</v>
      </c>
      <c r="Z65" s="181"/>
      <c r="AA65" s="182">
        <v>-14.32</v>
      </c>
      <c r="AB65" s="182">
        <f t="shared" si="69"/>
        <v>141.44198782254</v>
      </c>
      <c r="AC65" s="183">
        <f t="shared" si="70"/>
        <v>16.3</v>
      </c>
      <c r="AD65" s="184"/>
      <c r="AE65" s="184"/>
      <c r="AF65" s="184"/>
      <c r="AG65" s="185">
        <f t="shared" si="85"/>
        <v>10.24</v>
      </c>
      <c r="AH65" s="186">
        <f t="shared" si="64"/>
        <v>0.53233180927498369</v>
      </c>
      <c r="AI65" s="187"/>
      <c r="AJ65" s="242">
        <v>0.75</v>
      </c>
      <c r="AK65" s="166">
        <f t="shared" si="86"/>
        <v>22.965</v>
      </c>
      <c r="AL65" s="190">
        <f t="shared" si="87"/>
        <v>199.37394187517998</v>
      </c>
      <c r="AM65" s="191"/>
      <c r="AN65" s="178"/>
      <c r="AO65" s="168"/>
      <c r="AP65" s="174"/>
      <c r="AQ65" s="252"/>
      <c r="AR65" s="194">
        <v>0</v>
      </c>
      <c r="AS65" s="195">
        <v>0</v>
      </c>
      <c r="AT65" s="196">
        <f t="shared" si="71"/>
        <v>30.620000000000005</v>
      </c>
      <c r="AU65" s="197">
        <f t="shared" si="72"/>
        <v>265.83192250024001</v>
      </c>
      <c r="AV65" s="197">
        <f t="shared" si="73"/>
        <v>265.83192250024001</v>
      </c>
      <c r="AW65" s="198"/>
      <c r="AX65" s="194">
        <v>0</v>
      </c>
      <c r="AY65" s="195">
        <v>0</v>
      </c>
      <c r="AZ65" s="196">
        <f t="shared" si="74"/>
        <v>30.620000000000005</v>
      </c>
      <c r="BA65" s="197">
        <f t="shared" si="75"/>
        <v>265.83192250024001</v>
      </c>
      <c r="BB65" s="197">
        <f t="shared" si="76"/>
        <v>265.83192250024001</v>
      </c>
      <c r="BC65" s="198"/>
      <c r="BD65" s="194">
        <v>0</v>
      </c>
      <c r="BE65" s="195">
        <v>0</v>
      </c>
      <c r="BF65" s="196">
        <f t="shared" si="77"/>
        <v>30.620000000000005</v>
      </c>
      <c r="BG65" s="197">
        <f t="shared" si="78"/>
        <v>265.83192250024001</v>
      </c>
      <c r="BH65" s="197">
        <f t="shared" si="79"/>
        <v>265.83192250024001</v>
      </c>
      <c r="BI65" s="198"/>
      <c r="BJ65" s="194">
        <v>0</v>
      </c>
      <c r="BK65" s="195">
        <v>0</v>
      </c>
      <c r="BL65" s="196">
        <f t="shared" si="80"/>
        <v>30.620000000000005</v>
      </c>
      <c r="BM65" s="197">
        <f t="shared" si="81"/>
        <v>265.83192250024001</v>
      </c>
      <c r="BN65" s="197">
        <f t="shared" si="82"/>
        <v>265.83192250024001</v>
      </c>
      <c r="BO65" s="198"/>
      <c r="BP65" s="201">
        <f t="shared" si="65"/>
        <v>-14.07</v>
      </c>
      <c r="BQ65" s="199"/>
      <c r="BR65" s="200"/>
      <c r="BS65" s="201" t="s">
        <v>114</v>
      </c>
      <c r="BT65" s="201" t="s">
        <v>114</v>
      </c>
      <c r="BU65" s="183" t="s">
        <v>114</v>
      </c>
      <c r="BV65" s="199"/>
      <c r="BW65" s="199"/>
      <c r="BX65" s="200"/>
      <c r="BY65" s="201" t="s">
        <v>114</v>
      </c>
      <c r="BZ65" s="201" t="s">
        <v>114</v>
      </c>
      <c r="CA65" s="183" t="s">
        <v>114</v>
      </c>
    </row>
    <row r="66" spans="2:79" x14ac:dyDescent="0.25">
      <c r="B66" s="164">
        <v>42430</v>
      </c>
      <c r="C66" s="165">
        <f t="shared" ref="C66:C129" si="88">C54</f>
        <v>31</v>
      </c>
      <c r="D66" s="172">
        <v>37.96</v>
      </c>
      <c r="E66" s="167">
        <v>1.3226</v>
      </c>
      <c r="F66" s="168">
        <v>-3.41</v>
      </c>
      <c r="G66" s="169">
        <v>-0.77170000000000005</v>
      </c>
      <c r="H66" s="170">
        <f t="shared" si="66"/>
        <v>34.45728046993009</v>
      </c>
      <c r="I66" s="168">
        <f t="shared" si="67"/>
        <v>286.78621773209994</v>
      </c>
      <c r="J66" s="168">
        <f t="shared" si="55"/>
        <v>287.55791773209995</v>
      </c>
      <c r="K66" s="171">
        <f t="shared" si="56"/>
        <v>0.91016859852476284</v>
      </c>
      <c r="L66" s="172">
        <f t="shared" si="68"/>
        <v>2.14</v>
      </c>
      <c r="M66" s="168">
        <v>-1.27</v>
      </c>
      <c r="N66" s="168">
        <f t="shared" si="57"/>
        <v>35.603089691756701</v>
      </c>
      <c r="O66" s="174">
        <f t="shared" si="58"/>
        <v>296.32273043678003</v>
      </c>
      <c r="P66" s="174">
        <f t="shared" si="59"/>
        <v>305.36903043678001</v>
      </c>
      <c r="Q66" s="249">
        <f t="shared" si="60"/>
        <v>0.96654373024236029</v>
      </c>
      <c r="R66" s="250"/>
      <c r="S66" s="251"/>
      <c r="T66" s="178">
        <f t="shared" si="61"/>
        <v>306.89287676152003</v>
      </c>
      <c r="U66" s="178">
        <f t="shared" si="62"/>
        <v>315.93917676152</v>
      </c>
      <c r="V66" s="251"/>
      <c r="W66" s="250"/>
      <c r="X66" s="179">
        <v>-9.0463000000000005</v>
      </c>
      <c r="Y66" s="180">
        <v>0.26</v>
      </c>
      <c r="Z66" s="181"/>
      <c r="AA66" s="182">
        <v>-14.5</v>
      </c>
      <c r="AB66" s="182">
        <f t="shared" si="69"/>
        <v>195.16147299685801</v>
      </c>
      <c r="AC66" s="183">
        <f t="shared" si="70"/>
        <v>23.46</v>
      </c>
      <c r="AD66" s="184"/>
      <c r="AE66" s="184"/>
      <c r="AF66" s="184"/>
      <c r="AG66" s="185">
        <f t="shared" si="85"/>
        <v>11.09</v>
      </c>
      <c r="AH66" s="186">
        <f t="shared" si="64"/>
        <v>0.61801896733403583</v>
      </c>
      <c r="AI66" s="187"/>
      <c r="AJ66" s="242">
        <v>0.75</v>
      </c>
      <c r="AK66" s="166">
        <f t="shared" si="86"/>
        <v>28.470000000000002</v>
      </c>
      <c r="AL66" s="190">
        <f t="shared" si="87"/>
        <v>236.95438257114</v>
      </c>
      <c r="AM66" s="191"/>
      <c r="AN66" s="178"/>
      <c r="AO66" s="168"/>
      <c r="AP66" s="174"/>
      <c r="AQ66" s="252"/>
      <c r="AR66" s="194">
        <v>0</v>
      </c>
      <c r="AS66" s="195">
        <v>0</v>
      </c>
      <c r="AT66" s="196">
        <f t="shared" si="71"/>
        <v>37.96</v>
      </c>
      <c r="AU66" s="197">
        <f t="shared" si="72"/>
        <v>315.93917676152</v>
      </c>
      <c r="AV66" s="197">
        <f t="shared" si="73"/>
        <v>315.93917676152</v>
      </c>
      <c r="AW66" s="198"/>
      <c r="AX66" s="194">
        <v>0</v>
      </c>
      <c r="AY66" s="195">
        <v>0</v>
      </c>
      <c r="AZ66" s="196">
        <f t="shared" si="74"/>
        <v>37.96</v>
      </c>
      <c r="BA66" s="197">
        <f t="shared" si="75"/>
        <v>315.93917676152</v>
      </c>
      <c r="BB66" s="197">
        <f t="shared" si="76"/>
        <v>315.93917676152</v>
      </c>
      <c r="BC66" s="198"/>
      <c r="BD66" s="194">
        <v>0</v>
      </c>
      <c r="BE66" s="195">
        <v>0</v>
      </c>
      <c r="BF66" s="196">
        <f t="shared" si="77"/>
        <v>37.96</v>
      </c>
      <c r="BG66" s="197">
        <f t="shared" si="78"/>
        <v>315.93917676152</v>
      </c>
      <c r="BH66" s="197">
        <f t="shared" si="79"/>
        <v>315.93917676152</v>
      </c>
      <c r="BI66" s="198"/>
      <c r="BJ66" s="194">
        <v>0</v>
      </c>
      <c r="BK66" s="195">
        <v>0</v>
      </c>
      <c r="BL66" s="196">
        <f t="shared" si="80"/>
        <v>37.96</v>
      </c>
      <c r="BM66" s="197">
        <f t="shared" si="81"/>
        <v>315.93917676152</v>
      </c>
      <c r="BN66" s="197">
        <f t="shared" si="82"/>
        <v>315.93917676152</v>
      </c>
      <c r="BO66" s="198"/>
      <c r="BP66" s="201">
        <f t="shared" si="65"/>
        <v>-14.25</v>
      </c>
      <c r="BQ66" s="199"/>
      <c r="BR66" s="200"/>
      <c r="BS66" s="201" t="s">
        <v>114</v>
      </c>
      <c r="BT66" s="201" t="s">
        <v>114</v>
      </c>
      <c r="BU66" s="183" t="s">
        <v>114</v>
      </c>
      <c r="BV66" s="199"/>
      <c r="BW66" s="199"/>
      <c r="BX66" s="200"/>
      <c r="BY66" s="201" t="s">
        <v>114</v>
      </c>
      <c r="BZ66" s="201" t="s">
        <v>114</v>
      </c>
      <c r="CA66" s="183" t="s">
        <v>114</v>
      </c>
    </row>
    <row r="67" spans="2:79" x14ac:dyDescent="0.25">
      <c r="B67" s="164">
        <v>42461</v>
      </c>
      <c r="C67" s="165">
        <f t="shared" si="88"/>
        <v>30</v>
      </c>
      <c r="D67" s="172">
        <v>41.12</v>
      </c>
      <c r="E67" s="167">
        <v>1.2819</v>
      </c>
      <c r="F67" s="168">
        <v>-2.16</v>
      </c>
      <c r="G67" s="169">
        <v>-0.75119999999999998</v>
      </c>
      <c r="H67" s="170">
        <f t="shared" si="66"/>
        <v>38.866877919199418</v>
      </c>
      <c r="I67" s="168">
        <f t="shared" si="67"/>
        <v>313.53249886487998</v>
      </c>
      <c r="J67" s="168">
        <f t="shared" si="55"/>
        <v>314.28369886487997</v>
      </c>
      <c r="K67" s="171">
        <f t="shared" si="56"/>
        <v>0.94747081712062242</v>
      </c>
      <c r="L67" s="172">
        <f t="shared" si="68"/>
        <v>1.6</v>
      </c>
      <c r="M67" s="168">
        <v>-0.56000000000000005</v>
      </c>
      <c r="N67" s="168">
        <f t="shared" si="57"/>
        <v>39.771734974181683</v>
      </c>
      <c r="O67" s="174">
        <f t="shared" si="58"/>
        <v>320.83182694968002</v>
      </c>
      <c r="P67" s="174">
        <f t="shared" si="59"/>
        <v>327.19062694968</v>
      </c>
      <c r="Q67" s="249">
        <f t="shared" si="60"/>
        <v>0.98638132295719838</v>
      </c>
      <c r="R67" s="250"/>
      <c r="S67" s="251"/>
      <c r="T67" s="178">
        <f t="shared" si="61"/>
        <v>325.34925177936003</v>
      </c>
      <c r="U67" s="178">
        <f t="shared" si="62"/>
        <v>331.70805177936001</v>
      </c>
      <c r="V67" s="251"/>
      <c r="W67" s="250"/>
      <c r="X67" s="179">
        <v>-6.3587999999999996</v>
      </c>
      <c r="Y67" s="180">
        <v>0.25</v>
      </c>
      <c r="Z67" s="181"/>
      <c r="AA67" s="182">
        <v>-13.24</v>
      </c>
      <c r="AB67" s="182">
        <f t="shared" si="69"/>
        <v>224.79387726900597</v>
      </c>
      <c r="AC67" s="183">
        <f t="shared" si="70"/>
        <v>27.879999999999995</v>
      </c>
      <c r="AD67" s="184"/>
      <c r="AE67" s="184"/>
      <c r="AF67" s="184"/>
      <c r="AG67" s="185">
        <f t="shared" si="85"/>
        <v>11.08</v>
      </c>
      <c r="AH67" s="186">
        <f t="shared" si="64"/>
        <v>0.67801556420233455</v>
      </c>
      <c r="AI67" s="187"/>
      <c r="AJ67" s="242">
        <v>0.75</v>
      </c>
      <c r="AK67" s="166">
        <f t="shared" si="86"/>
        <v>30.839999999999993</v>
      </c>
      <c r="AL67" s="190">
        <f t="shared" si="87"/>
        <v>248.78103883451996</v>
      </c>
      <c r="AM67" s="191"/>
      <c r="AN67" s="178"/>
      <c r="AO67" s="168"/>
      <c r="AP67" s="174"/>
      <c r="AQ67" s="252"/>
      <c r="AR67" s="194">
        <v>0</v>
      </c>
      <c r="AS67" s="195">
        <v>0</v>
      </c>
      <c r="AT67" s="196">
        <f t="shared" si="71"/>
        <v>41.11999999999999</v>
      </c>
      <c r="AU67" s="197">
        <f t="shared" si="72"/>
        <v>331.70805177935995</v>
      </c>
      <c r="AV67" s="197">
        <f t="shared" si="73"/>
        <v>331.70805177935995</v>
      </c>
      <c r="AW67" s="198"/>
      <c r="AX67" s="194">
        <v>0</v>
      </c>
      <c r="AY67" s="195">
        <v>0</v>
      </c>
      <c r="AZ67" s="196">
        <f t="shared" si="74"/>
        <v>41.11999999999999</v>
      </c>
      <c r="BA67" s="197">
        <f t="shared" si="75"/>
        <v>331.70805177935995</v>
      </c>
      <c r="BB67" s="197">
        <f t="shared" si="76"/>
        <v>331.70805177935995</v>
      </c>
      <c r="BC67" s="198"/>
      <c r="BD67" s="194">
        <v>0</v>
      </c>
      <c r="BE67" s="195">
        <v>0</v>
      </c>
      <c r="BF67" s="196">
        <f t="shared" si="77"/>
        <v>41.11999999999999</v>
      </c>
      <c r="BG67" s="197">
        <f t="shared" si="78"/>
        <v>331.70805177935995</v>
      </c>
      <c r="BH67" s="197">
        <f t="shared" si="79"/>
        <v>331.70805177935995</v>
      </c>
      <c r="BI67" s="198"/>
      <c r="BJ67" s="194">
        <v>0</v>
      </c>
      <c r="BK67" s="195">
        <v>0</v>
      </c>
      <c r="BL67" s="196">
        <f t="shared" si="80"/>
        <v>41.11999999999999</v>
      </c>
      <c r="BM67" s="197">
        <f t="shared" si="81"/>
        <v>331.70805177935995</v>
      </c>
      <c r="BN67" s="197">
        <f t="shared" si="82"/>
        <v>331.70805177935995</v>
      </c>
      <c r="BO67" s="198"/>
      <c r="BP67" s="201">
        <f t="shared" si="65"/>
        <v>-12.99</v>
      </c>
      <c r="BQ67" s="199"/>
      <c r="BR67" s="200"/>
      <c r="BS67" s="201" t="s">
        <v>114</v>
      </c>
      <c r="BT67" s="201" t="s">
        <v>114</v>
      </c>
      <c r="BU67" s="183" t="s">
        <v>114</v>
      </c>
      <c r="BV67" s="199"/>
      <c r="BW67" s="199"/>
      <c r="BX67" s="200"/>
      <c r="BY67" s="201" t="s">
        <v>114</v>
      </c>
      <c r="BZ67" s="201" t="s">
        <v>114</v>
      </c>
      <c r="CA67" s="183" t="s">
        <v>114</v>
      </c>
    </row>
    <row r="68" spans="2:79" x14ac:dyDescent="0.25">
      <c r="B68" s="164">
        <v>42491</v>
      </c>
      <c r="C68" s="165">
        <f t="shared" si="88"/>
        <v>31</v>
      </c>
      <c r="D68" s="172">
        <v>46.8</v>
      </c>
      <c r="E68" s="167">
        <v>1.2942</v>
      </c>
      <c r="F68" s="168">
        <v>-4.37</v>
      </c>
      <c r="G68" s="169">
        <v>-0.71550000000000002</v>
      </c>
      <c r="H68" s="170">
        <f t="shared" si="66"/>
        <v>42.342146416150733</v>
      </c>
      <c r="I68" s="168">
        <f t="shared" si="67"/>
        <v>344.84427878021995</v>
      </c>
      <c r="J68" s="168">
        <f t="shared" ref="J68:J131" si="89">I68-G68</f>
        <v>345.55977878021997</v>
      </c>
      <c r="K68" s="171">
        <f t="shared" ref="K68:K131" si="90">(D68+F68)/D68</f>
        <v>0.90662393162393162</v>
      </c>
      <c r="L68" s="172">
        <f t="shared" si="68"/>
        <v>4.22</v>
      </c>
      <c r="M68" s="168">
        <v>-0.15</v>
      </c>
      <c r="N68" s="168">
        <f t="shared" ref="N68:N131" si="91">O68/(E68*6.29287)</f>
        <v>46.025815942001792</v>
      </c>
      <c r="O68" s="174">
        <f t="shared" ref="O68:O131" si="92">((D68+M68)*6.29287*E68)+X68</f>
        <v>374.84493931409997</v>
      </c>
      <c r="P68" s="174">
        <f t="shared" ref="P68:P131" si="93">O68-X68</f>
        <v>379.92843931409999</v>
      </c>
      <c r="Q68" s="249">
        <f t="shared" ref="Q68:Q100" si="94">(D68+M68)/D68</f>
        <v>0.99679487179487181</v>
      </c>
      <c r="R68" s="250"/>
      <c r="S68" s="251"/>
      <c r="T68" s="178">
        <f t="shared" ref="T68:T131" si="95">(($D68+R68)*$E68*6.29287)+X68</f>
        <v>376.06657416719997</v>
      </c>
      <c r="U68" s="178">
        <f t="shared" ref="U68:U131" si="96">T68-X68</f>
        <v>381.15007416719999</v>
      </c>
      <c r="V68" s="251"/>
      <c r="W68" s="250"/>
      <c r="X68" s="179">
        <v>-5.0834999999999999</v>
      </c>
      <c r="Y68" s="180">
        <v>0.28000000000000003</v>
      </c>
      <c r="Z68" s="181"/>
      <c r="AA68" s="182">
        <v>-14.28</v>
      </c>
      <c r="AB68" s="182">
        <f t="shared" si="69"/>
        <v>264.72166980073195</v>
      </c>
      <c r="AC68" s="183">
        <f t="shared" si="70"/>
        <v>32.519999999999996</v>
      </c>
      <c r="AD68" s="184"/>
      <c r="AE68" s="184"/>
      <c r="AF68" s="184"/>
      <c r="AG68" s="185">
        <f t="shared" si="85"/>
        <v>9.91</v>
      </c>
      <c r="AH68" s="186">
        <f t="shared" ref="AH68:AH100" si="97">(D68+AA68)/D68</f>
        <v>0.69487179487179485</v>
      </c>
      <c r="AI68" s="187"/>
      <c r="AJ68" s="242">
        <v>0.75</v>
      </c>
      <c r="AK68" s="166">
        <f t="shared" si="86"/>
        <v>35.099999999999994</v>
      </c>
      <c r="AL68" s="190">
        <f t="shared" si="87"/>
        <v>285.86255562539992</v>
      </c>
      <c r="AM68" s="191"/>
      <c r="AN68" s="178"/>
      <c r="AO68" s="168"/>
      <c r="AP68" s="174"/>
      <c r="AQ68" s="252"/>
      <c r="AR68" s="194">
        <v>0</v>
      </c>
      <c r="AS68" s="195">
        <v>0</v>
      </c>
      <c r="AT68" s="196">
        <f t="shared" si="71"/>
        <v>46.8</v>
      </c>
      <c r="AU68" s="197">
        <f t="shared" si="72"/>
        <v>381.15007416719999</v>
      </c>
      <c r="AV68" s="197">
        <f t="shared" si="73"/>
        <v>381.15007416719999</v>
      </c>
      <c r="AW68" s="198"/>
      <c r="AX68" s="194">
        <v>0</v>
      </c>
      <c r="AY68" s="195">
        <v>0</v>
      </c>
      <c r="AZ68" s="196">
        <f t="shared" si="74"/>
        <v>46.8</v>
      </c>
      <c r="BA68" s="197">
        <f t="shared" si="75"/>
        <v>381.15007416719999</v>
      </c>
      <c r="BB68" s="197">
        <f t="shared" si="76"/>
        <v>381.15007416719999</v>
      </c>
      <c r="BC68" s="198"/>
      <c r="BD68" s="194">
        <v>0</v>
      </c>
      <c r="BE68" s="195">
        <v>0</v>
      </c>
      <c r="BF68" s="196">
        <f t="shared" si="77"/>
        <v>46.8</v>
      </c>
      <c r="BG68" s="197">
        <f t="shared" si="78"/>
        <v>381.15007416719999</v>
      </c>
      <c r="BH68" s="197">
        <f t="shared" si="79"/>
        <v>381.15007416719999</v>
      </c>
      <c r="BI68" s="198"/>
      <c r="BJ68" s="194">
        <v>0</v>
      </c>
      <c r="BK68" s="195">
        <v>0</v>
      </c>
      <c r="BL68" s="196">
        <f t="shared" si="80"/>
        <v>46.8</v>
      </c>
      <c r="BM68" s="197">
        <f t="shared" si="81"/>
        <v>381.15007416719999</v>
      </c>
      <c r="BN68" s="197">
        <f t="shared" si="82"/>
        <v>381.15007416719999</v>
      </c>
      <c r="BO68" s="198"/>
      <c r="BP68" s="201">
        <f t="shared" ref="BP68:BP131" si="98">AA68+0.25</f>
        <v>-14.03</v>
      </c>
      <c r="BQ68" s="199"/>
      <c r="BR68" s="200"/>
      <c r="BS68" s="201" t="s">
        <v>114</v>
      </c>
      <c r="BT68" s="201" t="s">
        <v>114</v>
      </c>
      <c r="BU68" s="183" t="s">
        <v>114</v>
      </c>
      <c r="BV68" s="199"/>
      <c r="BW68" s="199"/>
      <c r="BX68" s="200"/>
      <c r="BY68" s="201" t="s">
        <v>114</v>
      </c>
      <c r="BZ68" s="201" t="s">
        <v>114</v>
      </c>
      <c r="CA68" s="183" t="s">
        <v>114</v>
      </c>
    </row>
    <row r="69" spans="2:79" x14ac:dyDescent="0.25">
      <c r="B69" s="164">
        <v>42522</v>
      </c>
      <c r="C69" s="165">
        <f t="shared" si="88"/>
        <v>30</v>
      </c>
      <c r="D69" s="172">
        <v>48.85</v>
      </c>
      <c r="E69" s="167">
        <v>1.2896000000000001</v>
      </c>
      <c r="F69" s="168">
        <v>-2.73</v>
      </c>
      <c r="G69" s="169">
        <v>-0.43030000000000002</v>
      </c>
      <c r="H69" s="170">
        <f t="shared" ref="H69:H132" si="99">I69/(E69*6.29287)</f>
        <v>46.066976601322018</v>
      </c>
      <c r="I69" s="168">
        <f t="shared" ref="I69:I132" si="100">((D69+F69)*6.29287*E69)+G69</f>
        <v>373.84665121024</v>
      </c>
      <c r="J69" s="168">
        <f t="shared" si="89"/>
        <v>374.27695121023999</v>
      </c>
      <c r="K69" s="171">
        <f t="shared" si="90"/>
        <v>0.94411463664278406</v>
      </c>
      <c r="L69" s="172">
        <f t="shared" ref="L69:L102" si="101">M69-F69</f>
        <v>-1.1099999999999999</v>
      </c>
      <c r="M69" s="168">
        <v>-3.84</v>
      </c>
      <c r="N69" s="168">
        <f t="shared" si="91"/>
        <v>44.091597274722609</v>
      </c>
      <c r="O69" s="174">
        <f t="shared" si="92"/>
        <v>357.81588469152007</v>
      </c>
      <c r="P69" s="174">
        <f t="shared" si="93"/>
        <v>365.26898469152007</v>
      </c>
      <c r="Q69" s="249">
        <f t="shared" si="94"/>
        <v>0.92139201637666335</v>
      </c>
      <c r="R69" s="250"/>
      <c r="S69" s="251"/>
      <c r="T69" s="178">
        <f t="shared" si="95"/>
        <v>388.97857967520002</v>
      </c>
      <c r="U69" s="178">
        <f t="shared" si="96"/>
        <v>396.43167967520003</v>
      </c>
      <c r="V69" s="251"/>
      <c r="W69" s="250"/>
      <c r="X69" s="179">
        <v>-7.4531000000000001</v>
      </c>
      <c r="Y69" s="180">
        <v>0.16</v>
      </c>
      <c r="Z69" s="181"/>
      <c r="AA69" s="182">
        <v>-12.38</v>
      </c>
      <c r="AB69" s="182">
        <f t="shared" ref="AB69:AB132" si="102">(D69+AA69)*E69*6.2898105</f>
        <v>295.82055597057598</v>
      </c>
      <c r="AC69" s="183">
        <f t="shared" ref="AC69:AC132" si="103">D69+AA69</f>
        <v>36.47</v>
      </c>
      <c r="AD69" s="184"/>
      <c r="AE69" s="184"/>
      <c r="AF69" s="184"/>
      <c r="AG69" s="185">
        <f t="shared" si="85"/>
        <v>9.65</v>
      </c>
      <c r="AH69" s="186">
        <f t="shared" si="97"/>
        <v>0.74657113613101322</v>
      </c>
      <c r="AI69" s="187"/>
      <c r="AJ69" s="242">
        <v>0.75</v>
      </c>
      <c r="AK69" s="166">
        <f t="shared" si="86"/>
        <v>36.637500000000003</v>
      </c>
      <c r="AL69" s="190">
        <f t="shared" si="87"/>
        <v>297.32375975640002</v>
      </c>
      <c r="AM69" s="191"/>
      <c r="AN69" s="178"/>
      <c r="AO69" s="168"/>
      <c r="AP69" s="174"/>
      <c r="AQ69" s="252"/>
      <c r="AR69" s="194">
        <v>0</v>
      </c>
      <c r="AS69" s="195">
        <v>0</v>
      </c>
      <c r="AT69" s="196">
        <f t="shared" ref="AT69:AT132" si="104">AU69/($E69*6.29287)</f>
        <v>48.85</v>
      </c>
      <c r="AU69" s="197">
        <f t="shared" ref="AU69:AU132" si="105">(($D69+AR69)*6.29287*$E69)+AS69</f>
        <v>396.43167967520003</v>
      </c>
      <c r="AV69" s="197">
        <f t="shared" ref="AV69:AV132" si="106">AU69-AS69</f>
        <v>396.43167967520003</v>
      </c>
      <c r="AW69" s="198"/>
      <c r="AX69" s="194">
        <v>0</v>
      </c>
      <c r="AY69" s="195">
        <v>0</v>
      </c>
      <c r="AZ69" s="196">
        <f t="shared" ref="AZ69:AZ132" si="107">BA69/($E69*6.29287)</f>
        <v>48.85</v>
      </c>
      <c r="BA69" s="197">
        <f t="shared" ref="BA69:BA132" si="108">(($D69+AX69)*6.29287*$E69)+AY69</f>
        <v>396.43167967520003</v>
      </c>
      <c r="BB69" s="197">
        <f t="shared" ref="BB69:BB132" si="109">BA69-AY69</f>
        <v>396.43167967520003</v>
      </c>
      <c r="BC69" s="198"/>
      <c r="BD69" s="194">
        <v>0</v>
      </c>
      <c r="BE69" s="195">
        <v>0</v>
      </c>
      <c r="BF69" s="196">
        <f t="shared" ref="BF69:BF132" si="110">BG69/($E69*6.29287)</f>
        <v>48.85</v>
      </c>
      <c r="BG69" s="197">
        <f t="shared" ref="BG69:BG132" si="111">(($D69+BD69)*6.29287*$E69)+BE69</f>
        <v>396.43167967520003</v>
      </c>
      <c r="BH69" s="197">
        <f t="shared" ref="BH69:BH132" si="112">BG69-BE69</f>
        <v>396.43167967520003</v>
      </c>
      <c r="BI69" s="198"/>
      <c r="BJ69" s="194">
        <v>0</v>
      </c>
      <c r="BK69" s="195">
        <v>0</v>
      </c>
      <c r="BL69" s="196">
        <f t="shared" ref="BL69:BL132" si="113">BM69/($E69*6.29287)</f>
        <v>48.85</v>
      </c>
      <c r="BM69" s="197">
        <f t="shared" ref="BM69:BM132" si="114">(($D69+BJ69)*6.29287*$E69)+BK69</f>
        <v>396.43167967520003</v>
      </c>
      <c r="BN69" s="197">
        <f t="shared" ref="BN69:BN132" si="115">BM69-BK69</f>
        <v>396.43167967520003</v>
      </c>
      <c r="BO69" s="198"/>
      <c r="BP69" s="201">
        <f t="shared" si="98"/>
        <v>-12.13</v>
      </c>
      <c r="BQ69" s="199"/>
      <c r="BR69" s="200"/>
      <c r="BS69" s="201" t="s">
        <v>114</v>
      </c>
      <c r="BT69" s="201" t="s">
        <v>114</v>
      </c>
      <c r="BU69" s="183" t="s">
        <v>114</v>
      </c>
      <c r="BV69" s="199"/>
      <c r="BW69" s="199"/>
      <c r="BX69" s="200"/>
      <c r="BY69" s="201" t="s">
        <v>114</v>
      </c>
      <c r="BZ69" s="201" t="s">
        <v>114</v>
      </c>
      <c r="CA69" s="183" t="s">
        <v>114</v>
      </c>
    </row>
    <row r="70" spans="2:79" x14ac:dyDescent="0.25">
      <c r="B70" s="164">
        <v>42552</v>
      </c>
      <c r="C70" s="165">
        <f t="shared" si="88"/>
        <v>31</v>
      </c>
      <c r="D70" s="172">
        <v>44.8</v>
      </c>
      <c r="E70" s="167">
        <v>1.3049999999999999</v>
      </c>
      <c r="F70" s="168">
        <v>-1.63</v>
      </c>
      <c r="G70" s="169">
        <v>-0.71419999999999995</v>
      </c>
      <c r="H70" s="170">
        <f t="shared" si="99"/>
        <v>43.083031781446834</v>
      </c>
      <c r="I70" s="168">
        <f t="shared" si="100"/>
        <v>353.8062732594999</v>
      </c>
      <c r="J70" s="168">
        <f t="shared" si="89"/>
        <v>354.52047325949991</v>
      </c>
      <c r="K70" s="171">
        <f t="shared" si="90"/>
        <v>0.96361607142857142</v>
      </c>
      <c r="L70" s="172">
        <f t="shared" si="101"/>
        <v>-0.64999999999999991</v>
      </c>
      <c r="M70" s="168">
        <v>-2.2799999999999998</v>
      </c>
      <c r="N70" s="168">
        <f t="shared" si="91"/>
        <v>41.784752025169489</v>
      </c>
      <c r="O70" s="174">
        <f t="shared" si="92"/>
        <v>343.14454628199996</v>
      </c>
      <c r="P70" s="174">
        <f t="shared" si="93"/>
        <v>349.18254628199998</v>
      </c>
      <c r="Q70" s="249">
        <f t="shared" si="94"/>
        <v>0.94910714285714282</v>
      </c>
      <c r="R70" s="250"/>
      <c r="S70" s="251"/>
      <c r="T70" s="178">
        <f t="shared" si="95"/>
        <v>361.86835167999993</v>
      </c>
      <c r="U70" s="178">
        <f t="shared" si="96"/>
        <v>367.90635167999994</v>
      </c>
      <c r="V70" s="251"/>
      <c r="W70" s="250"/>
      <c r="X70" s="179">
        <v>-6.0380000000000003</v>
      </c>
      <c r="Y70" s="180">
        <v>0.19</v>
      </c>
      <c r="Z70" s="181"/>
      <c r="AA70" s="182">
        <v>-12</v>
      </c>
      <c r="AB70" s="182">
        <f t="shared" si="102"/>
        <v>269.22904864199995</v>
      </c>
      <c r="AC70" s="183">
        <f t="shared" si="103"/>
        <v>32.799999999999997</v>
      </c>
      <c r="AD70" s="184"/>
      <c r="AE70" s="184"/>
      <c r="AF70" s="184"/>
      <c r="AG70" s="185">
        <f t="shared" si="85"/>
        <v>10.370000000000001</v>
      </c>
      <c r="AH70" s="186">
        <f t="shared" si="97"/>
        <v>0.7321428571428571</v>
      </c>
      <c r="AI70" s="187"/>
      <c r="AJ70" s="242">
        <v>0.75</v>
      </c>
      <c r="AK70" s="166">
        <f t="shared" si="86"/>
        <v>33.599999999999994</v>
      </c>
      <c r="AL70" s="190">
        <f t="shared" si="87"/>
        <v>275.92976375999996</v>
      </c>
      <c r="AM70" s="191"/>
      <c r="AN70" s="178"/>
      <c r="AO70" s="168"/>
      <c r="AP70" s="174"/>
      <c r="AQ70" s="252"/>
      <c r="AR70" s="194">
        <v>0</v>
      </c>
      <c r="AS70" s="195">
        <v>0</v>
      </c>
      <c r="AT70" s="196">
        <f t="shared" si="104"/>
        <v>44.79999999999999</v>
      </c>
      <c r="AU70" s="197">
        <f t="shared" si="105"/>
        <v>367.90635167999994</v>
      </c>
      <c r="AV70" s="197">
        <f t="shared" si="106"/>
        <v>367.90635167999994</v>
      </c>
      <c r="AW70" s="198"/>
      <c r="AX70" s="194">
        <v>0</v>
      </c>
      <c r="AY70" s="195">
        <v>0</v>
      </c>
      <c r="AZ70" s="196">
        <f t="shared" si="107"/>
        <v>44.79999999999999</v>
      </c>
      <c r="BA70" s="197">
        <f t="shared" si="108"/>
        <v>367.90635167999994</v>
      </c>
      <c r="BB70" s="197">
        <f t="shared" si="109"/>
        <v>367.90635167999994</v>
      </c>
      <c r="BC70" s="198"/>
      <c r="BD70" s="194">
        <v>0</v>
      </c>
      <c r="BE70" s="195">
        <v>0</v>
      </c>
      <c r="BF70" s="196">
        <f t="shared" si="110"/>
        <v>44.79999999999999</v>
      </c>
      <c r="BG70" s="197">
        <f t="shared" si="111"/>
        <v>367.90635167999994</v>
      </c>
      <c r="BH70" s="197">
        <f t="shared" si="112"/>
        <v>367.90635167999994</v>
      </c>
      <c r="BI70" s="198"/>
      <c r="BJ70" s="194">
        <v>0</v>
      </c>
      <c r="BK70" s="195">
        <v>0</v>
      </c>
      <c r="BL70" s="196">
        <f t="shared" si="113"/>
        <v>44.79999999999999</v>
      </c>
      <c r="BM70" s="197">
        <f t="shared" si="114"/>
        <v>367.90635167999994</v>
      </c>
      <c r="BN70" s="197">
        <f t="shared" si="115"/>
        <v>367.90635167999994</v>
      </c>
      <c r="BO70" s="198"/>
      <c r="BP70" s="201">
        <f t="shared" si="98"/>
        <v>-11.75</v>
      </c>
      <c r="BQ70" s="199"/>
      <c r="BR70" s="200"/>
      <c r="BS70" s="201" t="s">
        <v>114</v>
      </c>
      <c r="BT70" s="201" t="s">
        <v>114</v>
      </c>
      <c r="BU70" s="183" t="s">
        <v>114</v>
      </c>
      <c r="BV70" s="199"/>
      <c r="BW70" s="199"/>
      <c r="BX70" s="200"/>
      <c r="BY70" s="201" t="s">
        <v>114</v>
      </c>
      <c r="BZ70" s="201" t="s">
        <v>114</v>
      </c>
      <c r="CA70" s="183" t="s">
        <v>114</v>
      </c>
    </row>
    <row r="71" spans="2:79" x14ac:dyDescent="0.25">
      <c r="B71" s="164">
        <v>42583</v>
      </c>
      <c r="C71" s="165">
        <f t="shared" si="88"/>
        <v>31</v>
      </c>
      <c r="D71" s="172">
        <v>44.8</v>
      </c>
      <c r="E71" s="167">
        <v>1.2994000000000001</v>
      </c>
      <c r="F71" s="168">
        <v>-3.53</v>
      </c>
      <c r="G71" s="169">
        <v>-0.88919999999999999</v>
      </c>
      <c r="H71" s="170">
        <f t="shared" si="99"/>
        <v>41.161255367093368</v>
      </c>
      <c r="I71" s="168">
        <f t="shared" si="100"/>
        <v>336.57374432306</v>
      </c>
      <c r="J71" s="168">
        <f t="shared" si="89"/>
        <v>337.46294432306001</v>
      </c>
      <c r="K71" s="171">
        <f t="shared" si="90"/>
        <v>0.92120535714285712</v>
      </c>
      <c r="L71" s="172">
        <f t="shared" si="101"/>
        <v>0.16999999999999993</v>
      </c>
      <c r="M71" s="168">
        <v>-3.36</v>
      </c>
      <c r="N71" s="168">
        <f t="shared" si="91"/>
        <v>40.753057267769002</v>
      </c>
      <c r="O71" s="174">
        <f t="shared" si="92"/>
        <v>333.23592672032004</v>
      </c>
      <c r="P71" s="174">
        <f t="shared" si="93"/>
        <v>338.85302672032003</v>
      </c>
      <c r="Q71" s="249">
        <f t="shared" si="94"/>
        <v>0.92500000000000004</v>
      </c>
      <c r="R71" s="250"/>
      <c r="S71" s="251"/>
      <c r="T71" s="178">
        <f t="shared" si="95"/>
        <v>360.71049645440002</v>
      </c>
      <c r="U71" s="178">
        <f t="shared" si="96"/>
        <v>366.32759645440001</v>
      </c>
      <c r="V71" s="251"/>
      <c r="W71" s="250"/>
      <c r="X71" s="179">
        <v>-5.6170999999999998</v>
      </c>
      <c r="Y71" s="180">
        <v>0.22</v>
      </c>
      <c r="Z71" s="181"/>
      <c r="AA71" s="182">
        <v>-13.9</v>
      </c>
      <c r="AB71" s="182">
        <f t="shared" si="102"/>
        <v>252.54507469832998</v>
      </c>
      <c r="AC71" s="183">
        <f t="shared" si="103"/>
        <v>30.9</v>
      </c>
      <c r="AD71" s="184"/>
      <c r="AE71" s="184"/>
      <c r="AF71" s="184"/>
      <c r="AG71" s="185">
        <f t="shared" si="85"/>
        <v>10.370000000000001</v>
      </c>
      <c r="AH71" s="186">
        <f t="shared" si="97"/>
        <v>0.6897321428571429</v>
      </c>
      <c r="AI71" s="187"/>
      <c r="AJ71" s="242">
        <v>0.75</v>
      </c>
      <c r="AK71" s="166">
        <f t="shared" si="86"/>
        <v>33.599999999999987</v>
      </c>
      <c r="AL71" s="190">
        <f t="shared" si="87"/>
        <v>274.74569734079995</v>
      </c>
      <c r="AM71" s="191"/>
      <c r="AN71" s="178"/>
      <c r="AO71" s="168"/>
      <c r="AP71" s="174"/>
      <c r="AQ71" s="252"/>
      <c r="AR71" s="194">
        <v>0</v>
      </c>
      <c r="AS71" s="195">
        <v>0</v>
      </c>
      <c r="AT71" s="196">
        <f t="shared" si="104"/>
        <v>44.8</v>
      </c>
      <c r="AU71" s="197">
        <f t="shared" si="105"/>
        <v>366.32759645440001</v>
      </c>
      <c r="AV71" s="197">
        <f t="shared" si="106"/>
        <v>366.32759645440001</v>
      </c>
      <c r="AW71" s="198"/>
      <c r="AX71" s="194">
        <v>0</v>
      </c>
      <c r="AY71" s="195">
        <v>0</v>
      </c>
      <c r="AZ71" s="196">
        <f t="shared" si="107"/>
        <v>44.8</v>
      </c>
      <c r="BA71" s="197">
        <f t="shared" si="108"/>
        <v>366.32759645440001</v>
      </c>
      <c r="BB71" s="197">
        <f t="shared" si="109"/>
        <v>366.32759645440001</v>
      </c>
      <c r="BC71" s="198"/>
      <c r="BD71" s="194">
        <v>0</v>
      </c>
      <c r="BE71" s="195">
        <v>0</v>
      </c>
      <c r="BF71" s="196">
        <f t="shared" si="110"/>
        <v>44.8</v>
      </c>
      <c r="BG71" s="197">
        <f t="shared" si="111"/>
        <v>366.32759645440001</v>
      </c>
      <c r="BH71" s="197">
        <f t="shared" si="112"/>
        <v>366.32759645440001</v>
      </c>
      <c r="BI71" s="198"/>
      <c r="BJ71" s="194">
        <v>0</v>
      </c>
      <c r="BK71" s="195">
        <v>0</v>
      </c>
      <c r="BL71" s="196">
        <f t="shared" si="113"/>
        <v>44.8</v>
      </c>
      <c r="BM71" s="197">
        <f t="shared" si="114"/>
        <v>366.32759645440001</v>
      </c>
      <c r="BN71" s="197">
        <f t="shared" si="115"/>
        <v>366.32759645440001</v>
      </c>
      <c r="BO71" s="198"/>
      <c r="BP71" s="201">
        <f t="shared" si="98"/>
        <v>-13.65</v>
      </c>
      <c r="BQ71" s="199"/>
      <c r="BR71" s="200"/>
      <c r="BS71" s="201" t="s">
        <v>114</v>
      </c>
      <c r="BT71" s="201" t="s">
        <v>114</v>
      </c>
      <c r="BU71" s="183" t="s">
        <v>114</v>
      </c>
      <c r="BV71" s="199"/>
      <c r="BW71" s="199"/>
      <c r="BX71" s="200"/>
      <c r="BY71" s="201" t="s">
        <v>114</v>
      </c>
      <c r="BZ71" s="201" t="s">
        <v>114</v>
      </c>
      <c r="CA71" s="183" t="s">
        <v>114</v>
      </c>
    </row>
    <row r="72" spans="2:79" x14ac:dyDescent="0.25">
      <c r="B72" s="164">
        <v>42614</v>
      </c>
      <c r="C72" s="165">
        <f t="shared" si="88"/>
        <v>30</v>
      </c>
      <c r="D72" s="172">
        <v>45.23</v>
      </c>
      <c r="E72" s="167">
        <v>1.3109</v>
      </c>
      <c r="F72" s="168">
        <v>-3.71</v>
      </c>
      <c r="G72" s="169">
        <v>-0.67400000000000004</v>
      </c>
      <c r="H72" s="170">
        <f t="shared" si="99"/>
        <v>41.438296328452914</v>
      </c>
      <c r="I72" s="168">
        <f t="shared" si="100"/>
        <v>341.83790271015999</v>
      </c>
      <c r="J72" s="168">
        <f t="shared" si="89"/>
        <v>342.51190271015997</v>
      </c>
      <c r="K72" s="171">
        <f t="shared" si="90"/>
        <v>0.91797479548971916</v>
      </c>
      <c r="L72" s="172">
        <f t="shared" si="101"/>
        <v>3.7399999999999998</v>
      </c>
      <c r="M72" s="168">
        <v>0.03</v>
      </c>
      <c r="N72" s="168">
        <f t="shared" si="91"/>
        <v>44.62981497491883</v>
      </c>
      <c r="O72" s="174">
        <f t="shared" si="92"/>
        <v>368.16577178857995</v>
      </c>
      <c r="P72" s="174">
        <f t="shared" si="93"/>
        <v>373.36437178857994</v>
      </c>
      <c r="Q72" s="249">
        <f t="shared" si="94"/>
        <v>1.0006632765863366</v>
      </c>
      <c r="R72" s="250"/>
      <c r="S72" s="251"/>
      <c r="T72" s="178">
        <f t="shared" si="95"/>
        <v>367.91829209008995</v>
      </c>
      <c r="U72" s="178">
        <f t="shared" si="96"/>
        <v>373.11689209008995</v>
      </c>
      <c r="V72" s="251"/>
      <c r="W72" s="250"/>
      <c r="X72" s="179">
        <v>-5.1985999999999999</v>
      </c>
      <c r="Y72" s="180">
        <v>0.3</v>
      </c>
      <c r="Z72" s="181"/>
      <c r="AA72" s="182">
        <v>-14.61</v>
      </c>
      <c r="AB72" s="182">
        <f t="shared" si="102"/>
        <v>252.47147133585895</v>
      </c>
      <c r="AC72" s="183">
        <f t="shared" si="103"/>
        <v>30.619999999999997</v>
      </c>
      <c r="AD72" s="184"/>
      <c r="AE72" s="184"/>
      <c r="AF72" s="184"/>
      <c r="AG72" s="185">
        <f t="shared" si="85"/>
        <v>10.899999999999999</v>
      </c>
      <c r="AH72" s="186">
        <f t="shared" si="97"/>
        <v>0.67698430245412333</v>
      </c>
      <c r="AI72" s="187"/>
      <c r="AJ72" s="242">
        <v>0.75</v>
      </c>
      <c r="AK72" s="166">
        <f t="shared" si="86"/>
        <v>33.922499999999999</v>
      </c>
      <c r="AL72" s="190">
        <f t="shared" si="87"/>
        <v>279.83766906756745</v>
      </c>
      <c r="AM72" s="191"/>
      <c r="AN72" s="178"/>
      <c r="AO72" s="168"/>
      <c r="AP72" s="174"/>
      <c r="AQ72" s="252"/>
      <c r="AR72" s="194">
        <v>0</v>
      </c>
      <c r="AS72" s="195">
        <v>0</v>
      </c>
      <c r="AT72" s="196">
        <f t="shared" si="104"/>
        <v>45.23</v>
      </c>
      <c r="AU72" s="197">
        <f t="shared" si="105"/>
        <v>373.11689209008995</v>
      </c>
      <c r="AV72" s="197">
        <f t="shared" si="106"/>
        <v>373.11689209008995</v>
      </c>
      <c r="AW72" s="198"/>
      <c r="AX72" s="194">
        <v>0</v>
      </c>
      <c r="AY72" s="195">
        <v>0</v>
      </c>
      <c r="AZ72" s="196">
        <f t="shared" si="107"/>
        <v>45.23</v>
      </c>
      <c r="BA72" s="197">
        <f t="shared" si="108"/>
        <v>373.11689209008995</v>
      </c>
      <c r="BB72" s="197">
        <f t="shared" si="109"/>
        <v>373.11689209008995</v>
      </c>
      <c r="BC72" s="198"/>
      <c r="BD72" s="194">
        <v>0</v>
      </c>
      <c r="BE72" s="195">
        <v>0</v>
      </c>
      <c r="BF72" s="196">
        <f t="shared" si="110"/>
        <v>45.23</v>
      </c>
      <c r="BG72" s="197">
        <f t="shared" si="111"/>
        <v>373.11689209008995</v>
      </c>
      <c r="BH72" s="197">
        <f t="shared" si="112"/>
        <v>373.11689209008995</v>
      </c>
      <c r="BI72" s="198"/>
      <c r="BJ72" s="194">
        <v>0</v>
      </c>
      <c r="BK72" s="195">
        <v>0</v>
      </c>
      <c r="BL72" s="196">
        <f t="shared" si="113"/>
        <v>45.23</v>
      </c>
      <c r="BM72" s="197">
        <f t="shared" si="114"/>
        <v>373.11689209008995</v>
      </c>
      <c r="BN72" s="197">
        <f t="shared" si="115"/>
        <v>373.11689209008995</v>
      </c>
      <c r="BO72" s="198"/>
      <c r="BP72" s="201">
        <f t="shared" si="98"/>
        <v>-14.36</v>
      </c>
      <c r="BQ72" s="199"/>
      <c r="BR72" s="200"/>
      <c r="BS72" s="201" t="s">
        <v>114</v>
      </c>
      <c r="BT72" s="201" t="s">
        <v>114</v>
      </c>
      <c r="BU72" s="183" t="s">
        <v>114</v>
      </c>
      <c r="BV72" s="199"/>
      <c r="BW72" s="199"/>
      <c r="BX72" s="200"/>
      <c r="BY72" s="201" t="s">
        <v>114</v>
      </c>
      <c r="BZ72" s="201" t="s">
        <v>114</v>
      </c>
      <c r="CA72" s="183" t="s">
        <v>114</v>
      </c>
    </row>
    <row r="73" spans="2:79" x14ac:dyDescent="0.25">
      <c r="B73" s="164">
        <v>42644</v>
      </c>
      <c r="C73" s="165">
        <f t="shared" si="88"/>
        <v>31</v>
      </c>
      <c r="D73" s="172">
        <v>49.94</v>
      </c>
      <c r="E73" s="167">
        <v>1.3250999999999999</v>
      </c>
      <c r="F73" s="168">
        <v>-2.4300000000000002</v>
      </c>
      <c r="G73" s="169">
        <v>0.55059999999999998</v>
      </c>
      <c r="H73" s="170">
        <f t="shared" si="99"/>
        <v>47.576029619255998</v>
      </c>
      <c r="I73" s="168">
        <f t="shared" si="100"/>
        <v>396.72138357786991</v>
      </c>
      <c r="J73" s="168">
        <f t="shared" si="89"/>
        <v>396.17078357786994</v>
      </c>
      <c r="K73" s="171">
        <f t="shared" si="90"/>
        <v>0.9513416099319183</v>
      </c>
      <c r="L73" s="172">
        <f t="shared" si="101"/>
        <v>1.3800000000000001</v>
      </c>
      <c r="M73" s="168">
        <v>-1.05</v>
      </c>
      <c r="N73" s="168">
        <f t="shared" si="91"/>
        <v>48.007630344057688</v>
      </c>
      <c r="O73" s="174">
        <f t="shared" si="92"/>
        <v>400.32036478892996</v>
      </c>
      <c r="P73" s="174">
        <f t="shared" si="93"/>
        <v>407.67816478892996</v>
      </c>
      <c r="Q73" s="249">
        <f t="shared" si="94"/>
        <v>0.97897476972366848</v>
      </c>
      <c r="R73" s="250"/>
      <c r="S73" s="251"/>
      <c r="T73" s="178">
        <f t="shared" si="95"/>
        <v>409.07598092777999</v>
      </c>
      <c r="U73" s="178">
        <f t="shared" si="96"/>
        <v>416.43378092777999</v>
      </c>
      <c r="V73" s="251"/>
      <c r="W73" s="250"/>
      <c r="X73" s="179">
        <v>-7.3578000000000001</v>
      </c>
      <c r="Y73" s="180">
        <v>0.26</v>
      </c>
      <c r="Z73" s="181"/>
      <c r="AA73" s="182">
        <v>-14.11</v>
      </c>
      <c r="AB73" s="182">
        <f t="shared" si="102"/>
        <v>298.6297174258965</v>
      </c>
      <c r="AC73" s="183">
        <f t="shared" si="103"/>
        <v>35.83</v>
      </c>
      <c r="AD73" s="184"/>
      <c r="AE73" s="184"/>
      <c r="AF73" s="184"/>
      <c r="AG73" s="185">
        <f t="shared" si="85"/>
        <v>11.68</v>
      </c>
      <c r="AH73" s="186">
        <f t="shared" si="97"/>
        <v>0.71746095314377256</v>
      </c>
      <c r="AI73" s="187"/>
      <c r="AJ73" s="242">
        <v>0.75</v>
      </c>
      <c r="AK73" s="166">
        <f t="shared" si="86"/>
        <v>37.454999999999991</v>
      </c>
      <c r="AL73" s="190">
        <f t="shared" si="87"/>
        <v>312.32533569583495</v>
      </c>
      <c r="AM73" s="191"/>
      <c r="AN73" s="178"/>
      <c r="AO73" s="168"/>
      <c r="AP73" s="174"/>
      <c r="AQ73" s="252"/>
      <c r="AR73" s="194">
        <v>0</v>
      </c>
      <c r="AS73" s="195">
        <v>0</v>
      </c>
      <c r="AT73" s="196">
        <f t="shared" si="104"/>
        <v>49.94</v>
      </c>
      <c r="AU73" s="197">
        <f t="shared" si="105"/>
        <v>416.43378092777999</v>
      </c>
      <c r="AV73" s="197">
        <f t="shared" si="106"/>
        <v>416.43378092777999</v>
      </c>
      <c r="AW73" s="198"/>
      <c r="AX73" s="194">
        <v>0</v>
      </c>
      <c r="AY73" s="195">
        <v>0</v>
      </c>
      <c r="AZ73" s="196">
        <f t="shared" si="107"/>
        <v>49.94</v>
      </c>
      <c r="BA73" s="197">
        <f t="shared" si="108"/>
        <v>416.43378092777999</v>
      </c>
      <c r="BB73" s="197">
        <f t="shared" si="109"/>
        <v>416.43378092777999</v>
      </c>
      <c r="BC73" s="198"/>
      <c r="BD73" s="194">
        <v>0</v>
      </c>
      <c r="BE73" s="195">
        <v>0</v>
      </c>
      <c r="BF73" s="196">
        <f t="shared" si="110"/>
        <v>49.94</v>
      </c>
      <c r="BG73" s="197">
        <f t="shared" si="111"/>
        <v>416.43378092777999</v>
      </c>
      <c r="BH73" s="197">
        <f t="shared" si="112"/>
        <v>416.43378092777999</v>
      </c>
      <c r="BI73" s="198"/>
      <c r="BJ73" s="194">
        <v>0</v>
      </c>
      <c r="BK73" s="195">
        <v>0</v>
      </c>
      <c r="BL73" s="196">
        <f t="shared" si="113"/>
        <v>49.94</v>
      </c>
      <c r="BM73" s="197">
        <f t="shared" si="114"/>
        <v>416.43378092777999</v>
      </c>
      <c r="BN73" s="197">
        <f t="shared" si="115"/>
        <v>416.43378092777999</v>
      </c>
      <c r="BO73" s="198"/>
      <c r="BP73" s="201">
        <f t="shared" si="98"/>
        <v>-13.86</v>
      </c>
      <c r="BQ73" s="199"/>
      <c r="BR73" s="200"/>
      <c r="BS73" s="201" t="s">
        <v>114</v>
      </c>
      <c r="BT73" s="201" t="s">
        <v>114</v>
      </c>
      <c r="BU73" s="183" t="s">
        <v>114</v>
      </c>
      <c r="BV73" s="199"/>
      <c r="BW73" s="199"/>
      <c r="BX73" s="200"/>
      <c r="BY73" s="201" t="s">
        <v>114</v>
      </c>
      <c r="BZ73" s="201" t="s">
        <v>114</v>
      </c>
      <c r="CA73" s="183" t="s">
        <v>114</v>
      </c>
    </row>
    <row r="74" spans="2:79" x14ac:dyDescent="0.25">
      <c r="B74" s="164">
        <v>42675</v>
      </c>
      <c r="C74" s="165">
        <f t="shared" si="88"/>
        <v>30</v>
      </c>
      <c r="D74" s="172">
        <v>45.76</v>
      </c>
      <c r="E74" s="167">
        <v>1.3438000000000001</v>
      </c>
      <c r="F74" s="168">
        <v>-2.95</v>
      </c>
      <c r="G74" s="169">
        <v>-0.3044</v>
      </c>
      <c r="H74" s="170">
        <f t="shared" si="99"/>
        <v>42.774003419133109</v>
      </c>
      <c r="I74" s="168">
        <f t="shared" si="100"/>
        <v>361.71231620386004</v>
      </c>
      <c r="J74" s="168">
        <f t="shared" si="89"/>
        <v>362.01671620386003</v>
      </c>
      <c r="K74" s="171">
        <f t="shared" si="90"/>
        <v>0.93553321678321677</v>
      </c>
      <c r="L74" s="172">
        <f t="shared" si="101"/>
        <v>1.9700000000000002</v>
      </c>
      <c r="M74" s="168">
        <v>-0.98</v>
      </c>
      <c r="N74" s="168">
        <f t="shared" si="91"/>
        <v>43.799826347465732</v>
      </c>
      <c r="O74" s="174">
        <f t="shared" si="92"/>
        <v>370.38704285468003</v>
      </c>
      <c r="P74" s="174">
        <f t="shared" si="93"/>
        <v>378.67574285468004</v>
      </c>
      <c r="Q74" s="249">
        <f t="shared" si="94"/>
        <v>0.97858391608391615</v>
      </c>
      <c r="R74" s="250"/>
      <c r="S74" s="251"/>
      <c r="T74" s="178">
        <f t="shared" si="95"/>
        <v>378.67427438656</v>
      </c>
      <c r="U74" s="178">
        <f t="shared" si="96"/>
        <v>386.96297438656001</v>
      </c>
      <c r="V74" s="251"/>
      <c r="W74" s="250"/>
      <c r="X74" s="179">
        <v>-8.2887000000000004</v>
      </c>
      <c r="Y74" s="180">
        <v>0.28000000000000003</v>
      </c>
      <c r="Z74" s="181"/>
      <c r="AA74" s="182">
        <v>-13.87</v>
      </c>
      <c r="AB74" s="182">
        <f t="shared" si="102"/>
        <v>269.54216798831101</v>
      </c>
      <c r="AC74" s="183">
        <f t="shared" si="103"/>
        <v>31.89</v>
      </c>
      <c r="AD74" s="184"/>
      <c r="AE74" s="184"/>
      <c r="AF74" s="184"/>
      <c r="AG74" s="185">
        <f t="shared" si="85"/>
        <v>10.919999999999998</v>
      </c>
      <c r="AH74" s="186">
        <f t="shared" si="97"/>
        <v>0.69689685314685323</v>
      </c>
      <c r="AI74" s="187"/>
      <c r="AJ74" s="242">
        <v>0.75</v>
      </c>
      <c r="AK74" s="166">
        <f t="shared" si="86"/>
        <v>34.32</v>
      </c>
      <c r="AL74" s="190">
        <f t="shared" si="87"/>
        <v>290.22223078991999</v>
      </c>
      <c r="AM74" s="191"/>
      <c r="AN74" s="178"/>
      <c r="AO74" s="168"/>
      <c r="AP74" s="174"/>
      <c r="AQ74" s="252"/>
      <c r="AR74" s="194">
        <v>0</v>
      </c>
      <c r="AS74" s="195">
        <v>0</v>
      </c>
      <c r="AT74" s="196">
        <f t="shared" si="104"/>
        <v>45.760000000000005</v>
      </c>
      <c r="AU74" s="197">
        <f t="shared" si="105"/>
        <v>386.96297438656001</v>
      </c>
      <c r="AV74" s="197">
        <f t="shared" si="106"/>
        <v>386.96297438656001</v>
      </c>
      <c r="AW74" s="198"/>
      <c r="AX74" s="194">
        <v>0</v>
      </c>
      <c r="AY74" s="195">
        <v>0</v>
      </c>
      <c r="AZ74" s="196">
        <f t="shared" si="107"/>
        <v>45.760000000000005</v>
      </c>
      <c r="BA74" s="197">
        <f t="shared" si="108"/>
        <v>386.96297438656001</v>
      </c>
      <c r="BB74" s="197">
        <f t="shared" si="109"/>
        <v>386.96297438656001</v>
      </c>
      <c r="BC74" s="198"/>
      <c r="BD74" s="194">
        <v>0</v>
      </c>
      <c r="BE74" s="195">
        <v>0</v>
      </c>
      <c r="BF74" s="196">
        <f t="shared" si="110"/>
        <v>45.760000000000005</v>
      </c>
      <c r="BG74" s="197">
        <f t="shared" si="111"/>
        <v>386.96297438656001</v>
      </c>
      <c r="BH74" s="197">
        <f t="shared" si="112"/>
        <v>386.96297438656001</v>
      </c>
      <c r="BI74" s="198"/>
      <c r="BJ74" s="194">
        <v>0</v>
      </c>
      <c r="BK74" s="195">
        <v>0</v>
      </c>
      <c r="BL74" s="196">
        <f t="shared" si="113"/>
        <v>45.760000000000005</v>
      </c>
      <c r="BM74" s="197">
        <f t="shared" si="114"/>
        <v>386.96297438656001</v>
      </c>
      <c r="BN74" s="197">
        <f t="shared" si="115"/>
        <v>386.96297438656001</v>
      </c>
      <c r="BO74" s="198"/>
      <c r="BP74" s="201">
        <f t="shared" si="98"/>
        <v>-13.62</v>
      </c>
      <c r="BQ74" s="199"/>
      <c r="BR74" s="200"/>
      <c r="BS74" s="201" t="s">
        <v>114</v>
      </c>
      <c r="BT74" s="201" t="s">
        <v>114</v>
      </c>
      <c r="BU74" s="183" t="s">
        <v>114</v>
      </c>
      <c r="BV74" s="199"/>
      <c r="BW74" s="199"/>
      <c r="BX74" s="200"/>
      <c r="BY74" s="201" t="s">
        <v>114</v>
      </c>
      <c r="BZ74" s="201" t="s">
        <v>114</v>
      </c>
      <c r="CA74" s="183" t="s">
        <v>114</v>
      </c>
    </row>
    <row r="75" spans="2:79" x14ac:dyDescent="0.25">
      <c r="B75" s="202">
        <v>42705</v>
      </c>
      <c r="C75" s="203">
        <f t="shared" si="88"/>
        <v>31</v>
      </c>
      <c r="D75" s="210">
        <v>52.17</v>
      </c>
      <c r="E75" s="205">
        <v>1.3329</v>
      </c>
      <c r="F75" s="206">
        <v>-3.96</v>
      </c>
      <c r="G75" s="207">
        <v>-3.2399999999999998E-2</v>
      </c>
      <c r="H75" s="208">
        <f t="shared" si="99"/>
        <v>48.206137231490956</v>
      </c>
      <c r="I75" s="206">
        <f t="shared" si="100"/>
        <v>404.34181925282996</v>
      </c>
      <c r="J75" s="206">
        <f t="shared" si="89"/>
        <v>404.37421925282996</v>
      </c>
      <c r="K75" s="209">
        <f t="shared" si="90"/>
        <v>0.92409430707303042</v>
      </c>
      <c r="L75" s="210">
        <f t="shared" si="101"/>
        <v>3.12</v>
      </c>
      <c r="M75" s="206">
        <v>-0.84</v>
      </c>
      <c r="N75" s="206">
        <f t="shared" si="91"/>
        <v>50.771627274317339</v>
      </c>
      <c r="O75" s="212">
        <f t="shared" si="92"/>
        <v>425.86055049258994</v>
      </c>
      <c r="P75" s="212">
        <f t="shared" si="93"/>
        <v>430.54405049258992</v>
      </c>
      <c r="Q75" s="253">
        <f t="shared" si="94"/>
        <v>0.98389879240943068</v>
      </c>
      <c r="R75" s="254"/>
      <c r="S75" s="255"/>
      <c r="T75" s="216">
        <f t="shared" si="95"/>
        <v>432.90627428790998</v>
      </c>
      <c r="U75" s="216">
        <f t="shared" si="96"/>
        <v>437.58977428790996</v>
      </c>
      <c r="V75" s="255"/>
      <c r="W75" s="254"/>
      <c r="X75" s="217">
        <v>-4.6835000000000004</v>
      </c>
      <c r="Y75" s="218">
        <v>0.31</v>
      </c>
      <c r="Z75" s="219"/>
      <c r="AA75" s="220">
        <v>-14.99</v>
      </c>
      <c r="AB75" s="220">
        <f t="shared" si="102"/>
        <v>311.70553528643097</v>
      </c>
      <c r="AC75" s="221">
        <f t="shared" si="103"/>
        <v>37.18</v>
      </c>
      <c r="AD75" s="222"/>
      <c r="AE75" s="222"/>
      <c r="AF75" s="222"/>
      <c r="AG75" s="223">
        <f t="shared" si="85"/>
        <v>11.030000000000001</v>
      </c>
      <c r="AH75" s="224">
        <f t="shared" si="97"/>
        <v>0.71267011692543603</v>
      </c>
      <c r="AI75" s="225"/>
      <c r="AJ75" s="243">
        <v>0.75</v>
      </c>
      <c r="AK75" s="204">
        <f t="shared" si="86"/>
        <v>39.127500000000005</v>
      </c>
      <c r="AL75" s="228">
        <f t="shared" si="87"/>
        <v>328.19233071593248</v>
      </c>
      <c r="AM75" s="229"/>
      <c r="AN75" s="216"/>
      <c r="AO75" s="206"/>
      <c r="AP75" s="212"/>
      <c r="AQ75" s="256"/>
      <c r="AR75" s="232">
        <v>0</v>
      </c>
      <c r="AS75" s="233">
        <v>0</v>
      </c>
      <c r="AT75" s="234">
        <f t="shared" si="104"/>
        <v>52.170000000000009</v>
      </c>
      <c r="AU75" s="235">
        <f t="shared" si="105"/>
        <v>437.58977428791002</v>
      </c>
      <c r="AV75" s="235">
        <f t="shared" si="106"/>
        <v>437.58977428791002</v>
      </c>
      <c r="AW75" s="236"/>
      <c r="AX75" s="232">
        <v>0</v>
      </c>
      <c r="AY75" s="233">
        <v>0</v>
      </c>
      <c r="AZ75" s="234">
        <f t="shared" si="107"/>
        <v>52.170000000000009</v>
      </c>
      <c r="BA75" s="235">
        <f t="shared" si="108"/>
        <v>437.58977428791002</v>
      </c>
      <c r="BB75" s="235">
        <f t="shared" si="109"/>
        <v>437.58977428791002</v>
      </c>
      <c r="BC75" s="236"/>
      <c r="BD75" s="232">
        <v>0</v>
      </c>
      <c r="BE75" s="233">
        <v>0</v>
      </c>
      <c r="BF75" s="234">
        <f t="shared" si="110"/>
        <v>52.170000000000009</v>
      </c>
      <c r="BG75" s="235">
        <f t="shared" si="111"/>
        <v>437.58977428791002</v>
      </c>
      <c r="BH75" s="235">
        <f t="shared" si="112"/>
        <v>437.58977428791002</v>
      </c>
      <c r="BI75" s="236"/>
      <c r="BJ75" s="232">
        <v>0</v>
      </c>
      <c r="BK75" s="233">
        <v>0</v>
      </c>
      <c r="BL75" s="234">
        <f t="shared" si="113"/>
        <v>52.170000000000009</v>
      </c>
      <c r="BM75" s="235">
        <f t="shared" si="114"/>
        <v>437.58977428791002</v>
      </c>
      <c r="BN75" s="235">
        <f t="shared" si="115"/>
        <v>437.58977428791002</v>
      </c>
      <c r="BO75" s="236"/>
      <c r="BP75" s="239">
        <f t="shared" si="98"/>
        <v>-14.74</v>
      </c>
      <c r="BQ75" s="237"/>
      <c r="BR75" s="238"/>
      <c r="BS75" s="239" t="s">
        <v>114</v>
      </c>
      <c r="BT75" s="239" t="s">
        <v>114</v>
      </c>
      <c r="BU75" s="221" t="s">
        <v>114</v>
      </c>
      <c r="BV75" s="237"/>
      <c r="BW75" s="237"/>
      <c r="BX75" s="238"/>
      <c r="BY75" s="239" t="s">
        <v>114</v>
      </c>
      <c r="BZ75" s="239" t="s">
        <v>114</v>
      </c>
      <c r="CA75" s="221" t="s">
        <v>114</v>
      </c>
    </row>
    <row r="76" spans="2:79" x14ac:dyDescent="0.25">
      <c r="B76" s="125">
        <v>42736</v>
      </c>
      <c r="C76" s="193">
        <f t="shared" si="88"/>
        <v>31</v>
      </c>
      <c r="D76" s="133">
        <v>52.61</v>
      </c>
      <c r="E76" s="128">
        <v>1.3190999999999999</v>
      </c>
      <c r="F76" s="174">
        <v>-4.25</v>
      </c>
      <c r="G76" s="169">
        <v>0.26129999999999998</v>
      </c>
      <c r="H76" s="170">
        <f t="shared" si="99"/>
        <v>48.391478420267688</v>
      </c>
      <c r="I76" s="168">
        <f t="shared" si="100"/>
        <v>401.69402415011996</v>
      </c>
      <c r="J76" s="168">
        <f t="shared" si="89"/>
        <v>401.43272415011995</v>
      </c>
      <c r="K76" s="171">
        <f t="shared" si="90"/>
        <v>0.91921687892035731</v>
      </c>
      <c r="L76" s="172">
        <f t="shared" si="101"/>
        <v>3.86</v>
      </c>
      <c r="M76" s="168">
        <v>-0.39</v>
      </c>
      <c r="N76" s="168">
        <f t="shared" si="91"/>
        <v>51.935706375852611</v>
      </c>
      <c r="O76" s="174">
        <f t="shared" si="92"/>
        <v>431.11439394373997</v>
      </c>
      <c r="P76" s="174">
        <f t="shared" si="93"/>
        <v>433.47429394373995</v>
      </c>
      <c r="Q76" s="249">
        <f t="shared" si="94"/>
        <v>0.99258696065386809</v>
      </c>
      <c r="R76" s="250"/>
      <c r="S76" s="251"/>
      <c r="T76" s="178">
        <f t="shared" si="95"/>
        <v>434.35175462237004</v>
      </c>
      <c r="U76" s="178">
        <f t="shared" si="96"/>
        <v>436.71165462237002</v>
      </c>
      <c r="V76" s="251"/>
      <c r="W76" s="250"/>
      <c r="X76" s="179">
        <v>-2.3599000000000001</v>
      </c>
      <c r="Y76" s="180">
        <v>0.31</v>
      </c>
      <c r="Z76" s="181"/>
      <c r="AA76" s="182">
        <v>-15.42</v>
      </c>
      <c r="AB76" s="182">
        <f t="shared" si="102"/>
        <v>308.56130304615448</v>
      </c>
      <c r="AC76" s="183">
        <f t="shared" si="103"/>
        <v>37.19</v>
      </c>
      <c r="AD76" s="184"/>
      <c r="AE76" s="184"/>
      <c r="AF76" s="184"/>
      <c r="AG76" s="185">
        <f t="shared" si="85"/>
        <v>11.17</v>
      </c>
      <c r="AH76" s="186">
        <f t="shared" si="97"/>
        <v>0.70689982892986125</v>
      </c>
      <c r="AI76" s="187"/>
      <c r="AJ76" s="242">
        <v>0.75</v>
      </c>
      <c r="AK76" s="189">
        <f t="shared" si="86"/>
        <v>39.457499999999996</v>
      </c>
      <c r="AL76" s="190">
        <f t="shared" si="87"/>
        <v>327.53374096677743</v>
      </c>
      <c r="AM76" s="191"/>
      <c r="AN76" s="178"/>
      <c r="AO76" s="168"/>
      <c r="AP76" s="174"/>
      <c r="AQ76" s="252"/>
      <c r="AR76" s="257">
        <v>0</v>
      </c>
      <c r="AS76" s="195">
        <v>0</v>
      </c>
      <c r="AT76" s="196">
        <f t="shared" si="104"/>
        <v>52.61</v>
      </c>
      <c r="AU76" s="197">
        <f t="shared" si="105"/>
        <v>436.71165462236991</v>
      </c>
      <c r="AV76" s="197">
        <f t="shared" si="106"/>
        <v>436.71165462236991</v>
      </c>
      <c r="AW76" s="198"/>
      <c r="AX76" s="257">
        <v>0</v>
      </c>
      <c r="AY76" s="195">
        <v>0</v>
      </c>
      <c r="AZ76" s="196">
        <f t="shared" si="107"/>
        <v>52.61</v>
      </c>
      <c r="BA76" s="197">
        <f t="shared" si="108"/>
        <v>436.71165462236991</v>
      </c>
      <c r="BB76" s="197">
        <f t="shared" si="109"/>
        <v>436.71165462236991</v>
      </c>
      <c r="BC76" s="198"/>
      <c r="BD76" s="257">
        <v>0</v>
      </c>
      <c r="BE76" s="195">
        <v>0</v>
      </c>
      <c r="BF76" s="196">
        <f t="shared" si="110"/>
        <v>52.61</v>
      </c>
      <c r="BG76" s="197">
        <f t="shared" si="111"/>
        <v>436.71165462236991</v>
      </c>
      <c r="BH76" s="197">
        <f t="shared" si="112"/>
        <v>436.71165462236991</v>
      </c>
      <c r="BI76" s="198"/>
      <c r="BJ76" s="257">
        <v>0</v>
      </c>
      <c r="BK76" s="195">
        <v>0</v>
      </c>
      <c r="BL76" s="196">
        <f t="shared" si="113"/>
        <v>52.61</v>
      </c>
      <c r="BM76" s="197">
        <f t="shared" si="114"/>
        <v>436.71165462236991</v>
      </c>
      <c r="BN76" s="197">
        <f t="shared" si="115"/>
        <v>436.71165462236991</v>
      </c>
      <c r="BO76" s="198"/>
      <c r="BP76" s="201">
        <f t="shared" si="98"/>
        <v>-15.17</v>
      </c>
      <c r="BQ76" s="199"/>
      <c r="BR76" s="200"/>
      <c r="BS76" s="201" t="s">
        <v>114</v>
      </c>
      <c r="BT76" s="201" t="s">
        <v>114</v>
      </c>
      <c r="BU76" s="183" t="s">
        <v>114</v>
      </c>
      <c r="BV76" s="199"/>
      <c r="BW76" s="199"/>
      <c r="BX76" s="200"/>
      <c r="BY76" s="201" t="s">
        <v>114</v>
      </c>
      <c r="BZ76" s="201" t="s">
        <v>114</v>
      </c>
      <c r="CA76" s="183" t="s">
        <v>114</v>
      </c>
    </row>
    <row r="77" spans="2:79" x14ac:dyDescent="0.25">
      <c r="B77" s="164">
        <v>42767</v>
      </c>
      <c r="C77" s="193">
        <v>28</v>
      </c>
      <c r="D77" s="172">
        <v>53.46</v>
      </c>
      <c r="E77" s="167">
        <v>1.3109999999999999</v>
      </c>
      <c r="F77" s="174">
        <v>-3.14</v>
      </c>
      <c r="G77" s="169">
        <v>-1.1548</v>
      </c>
      <c r="H77" s="170">
        <f t="shared" si="99"/>
        <v>50.180023437686252</v>
      </c>
      <c r="I77" s="168">
        <f t="shared" si="100"/>
        <v>413.98281332239992</v>
      </c>
      <c r="J77" s="168">
        <f t="shared" si="89"/>
        <v>415.13761332239994</v>
      </c>
      <c r="K77" s="171">
        <f t="shared" si="90"/>
        <v>0.94126449682005242</v>
      </c>
      <c r="L77" s="172">
        <f t="shared" si="101"/>
        <v>3.73</v>
      </c>
      <c r="M77" s="168">
        <v>0.59</v>
      </c>
      <c r="N77" s="168">
        <f t="shared" si="91"/>
        <v>53.695307051747093</v>
      </c>
      <c r="O77" s="174">
        <f t="shared" si="92"/>
        <v>442.98373640850002</v>
      </c>
      <c r="P77" s="174">
        <f t="shared" si="93"/>
        <v>445.90993640850002</v>
      </c>
      <c r="Q77" s="249">
        <f t="shared" si="94"/>
        <v>1.0110362888140667</v>
      </c>
      <c r="R77" s="250"/>
      <c r="S77" s="251"/>
      <c r="T77" s="178">
        <f t="shared" si="95"/>
        <v>438.11626439220004</v>
      </c>
      <c r="U77" s="178">
        <f t="shared" si="96"/>
        <v>441.04246439220003</v>
      </c>
      <c r="V77" s="251"/>
      <c r="W77" s="250"/>
      <c r="X77" s="179">
        <v>-2.9262000000000001</v>
      </c>
      <c r="Y77" s="180">
        <v>0.31</v>
      </c>
      <c r="Z77" s="181"/>
      <c r="AA77" s="182">
        <v>-14.32</v>
      </c>
      <c r="AB77" s="182">
        <f t="shared" si="102"/>
        <v>322.74615287366998</v>
      </c>
      <c r="AC77" s="183">
        <f t="shared" si="103"/>
        <v>39.14</v>
      </c>
      <c r="AD77" s="184"/>
      <c r="AE77" s="184"/>
      <c r="AF77" s="184"/>
      <c r="AG77" s="185">
        <f t="shared" si="85"/>
        <v>11.18</v>
      </c>
      <c r="AH77" s="186">
        <f t="shared" si="97"/>
        <v>0.73213617658062102</v>
      </c>
      <c r="AI77" s="187"/>
      <c r="AJ77" s="242">
        <v>0.75</v>
      </c>
      <c r="AK77" s="189">
        <f t="shared" si="86"/>
        <v>40.094999999999992</v>
      </c>
      <c r="AL77" s="190">
        <f t="shared" si="87"/>
        <v>330.78184829414994</v>
      </c>
      <c r="AM77" s="191"/>
      <c r="AN77" s="178"/>
      <c r="AO77" s="168"/>
      <c r="AP77" s="174"/>
      <c r="AQ77" s="252"/>
      <c r="AR77" s="257">
        <v>0</v>
      </c>
      <c r="AS77" s="195">
        <v>0</v>
      </c>
      <c r="AT77" s="196">
        <f t="shared" si="104"/>
        <v>53.46</v>
      </c>
      <c r="AU77" s="197">
        <f t="shared" si="105"/>
        <v>441.04246439219997</v>
      </c>
      <c r="AV77" s="197">
        <f t="shared" si="106"/>
        <v>441.04246439219997</v>
      </c>
      <c r="AW77" s="198"/>
      <c r="AX77" s="257">
        <v>0</v>
      </c>
      <c r="AY77" s="195">
        <v>0</v>
      </c>
      <c r="AZ77" s="196">
        <f t="shared" si="107"/>
        <v>53.46</v>
      </c>
      <c r="BA77" s="197">
        <f t="shared" si="108"/>
        <v>441.04246439219997</v>
      </c>
      <c r="BB77" s="197">
        <f t="shared" si="109"/>
        <v>441.04246439219997</v>
      </c>
      <c r="BC77" s="198"/>
      <c r="BD77" s="257">
        <v>0</v>
      </c>
      <c r="BE77" s="195">
        <v>0</v>
      </c>
      <c r="BF77" s="196">
        <f t="shared" si="110"/>
        <v>53.46</v>
      </c>
      <c r="BG77" s="197">
        <f t="shared" si="111"/>
        <v>441.04246439219997</v>
      </c>
      <c r="BH77" s="197">
        <f t="shared" si="112"/>
        <v>441.04246439219997</v>
      </c>
      <c r="BI77" s="198"/>
      <c r="BJ77" s="257">
        <v>0</v>
      </c>
      <c r="BK77" s="195">
        <v>0</v>
      </c>
      <c r="BL77" s="196">
        <f t="shared" si="113"/>
        <v>53.46</v>
      </c>
      <c r="BM77" s="197">
        <f t="shared" si="114"/>
        <v>441.04246439219997</v>
      </c>
      <c r="BN77" s="197">
        <f t="shared" si="115"/>
        <v>441.04246439219997</v>
      </c>
      <c r="BO77" s="198"/>
      <c r="BP77" s="201">
        <f t="shared" si="98"/>
        <v>-14.07</v>
      </c>
      <c r="BQ77" s="199"/>
      <c r="BR77" s="200"/>
      <c r="BS77" s="201" t="s">
        <v>114</v>
      </c>
      <c r="BT77" s="201" t="s">
        <v>114</v>
      </c>
      <c r="BU77" s="183" t="s">
        <v>114</v>
      </c>
      <c r="BV77" s="199"/>
      <c r="BW77" s="199"/>
      <c r="BX77" s="200"/>
      <c r="BY77" s="201" t="s">
        <v>114</v>
      </c>
      <c r="BZ77" s="201" t="s">
        <v>114</v>
      </c>
      <c r="CA77" s="183" t="s">
        <v>114</v>
      </c>
    </row>
    <row r="78" spans="2:79" x14ac:dyDescent="0.25">
      <c r="B78" s="164">
        <v>42795</v>
      </c>
      <c r="C78" s="193">
        <f t="shared" si="88"/>
        <v>31</v>
      </c>
      <c r="D78" s="172">
        <v>49.67</v>
      </c>
      <c r="E78" s="167">
        <v>1.3388</v>
      </c>
      <c r="F78" s="174">
        <v>-3.24</v>
      </c>
      <c r="G78" s="169">
        <v>-1.0738000000000001</v>
      </c>
      <c r="H78" s="170">
        <f t="shared" si="99"/>
        <v>46.302544395855207</v>
      </c>
      <c r="I78" s="168">
        <f t="shared" si="100"/>
        <v>390.09404494907994</v>
      </c>
      <c r="J78" s="168">
        <f t="shared" si="89"/>
        <v>391.16784494907995</v>
      </c>
      <c r="K78" s="171">
        <f t="shared" si="90"/>
        <v>0.93476947855848602</v>
      </c>
      <c r="L78" s="172">
        <f t="shared" si="101"/>
        <v>4.1000000000000005</v>
      </c>
      <c r="M78" s="168">
        <v>0.86</v>
      </c>
      <c r="N78" s="168">
        <f t="shared" si="91"/>
        <v>50.271290524498063</v>
      </c>
      <c r="O78" s="174">
        <f t="shared" si="92"/>
        <v>423.53031180867998</v>
      </c>
      <c r="P78" s="174">
        <f t="shared" si="93"/>
        <v>425.70991180867998</v>
      </c>
      <c r="Q78" s="249">
        <f t="shared" si="94"/>
        <v>1.0173142742097845</v>
      </c>
      <c r="R78" s="250"/>
      <c r="S78" s="251"/>
      <c r="T78" s="178">
        <f t="shared" si="95"/>
        <v>416.28490266252004</v>
      </c>
      <c r="U78" s="178">
        <f t="shared" si="96"/>
        <v>418.46450266252003</v>
      </c>
      <c r="V78" s="251"/>
      <c r="W78" s="250"/>
      <c r="X78" s="179">
        <v>-2.1796000000000002</v>
      </c>
      <c r="Y78" s="180">
        <v>0.32</v>
      </c>
      <c r="Z78" s="181"/>
      <c r="AA78" s="182">
        <v>-14.28</v>
      </c>
      <c r="AB78" s="182">
        <f t="shared" si="102"/>
        <v>298.01205174498602</v>
      </c>
      <c r="AC78" s="183">
        <f t="shared" si="103"/>
        <v>35.39</v>
      </c>
      <c r="AD78" s="184"/>
      <c r="AE78" s="184"/>
      <c r="AF78" s="184"/>
      <c r="AG78" s="185">
        <f t="shared" si="85"/>
        <v>11.04</v>
      </c>
      <c r="AH78" s="186">
        <f t="shared" si="97"/>
        <v>0.71250251660962349</v>
      </c>
      <c r="AI78" s="187"/>
      <c r="AJ78" s="242">
        <v>0.75</v>
      </c>
      <c r="AK78" s="189">
        <f t="shared" si="86"/>
        <v>37.252499999999998</v>
      </c>
      <c r="AL78" s="190">
        <f t="shared" si="87"/>
        <v>313.84837699688995</v>
      </c>
      <c r="AM78" s="191"/>
      <c r="AN78" s="178"/>
      <c r="AO78" s="168"/>
      <c r="AP78" s="174"/>
      <c r="AQ78" s="252"/>
      <c r="AR78" s="257">
        <v>0</v>
      </c>
      <c r="AS78" s="195">
        <v>0</v>
      </c>
      <c r="AT78" s="196">
        <f t="shared" si="104"/>
        <v>49.670000000000009</v>
      </c>
      <c r="AU78" s="197">
        <f t="shared" si="105"/>
        <v>418.46450266252003</v>
      </c>
      <c r="AV78" s="197">
        <f t="shared" si="106"/>
        <v>418.46450266252003</v>
      </c>
      <c r="AW78" s="198"/>
      <c r="AX78" s="257">
        <v>0</v>
      </c>
      <c r="AY78" s="195">
        <v>0</v>
      </c>
      <c r="AZ78" s="196">
        <f t="shared" si="107"/>
        <v>49.670000000000009</v>
      </c>
      <c r="BA78" s="197">
        <f t="shared" si="108"/>
        <v>418.46450266252003</v>
      </c>
      <c r="BB78" s="197">
        <f t="shared" si="109"/>
        <v>418.46450266252003</v>
      </c>
      <c r="BC78" s="198"/>
      <c r="BD78" s="257">
        <v>0</v>
      </c>
      <c r="BE78" s="195">
        <v>0</v>
      </c>
      <c r="BF78" s="196">
        <f t="shared" si="110"/>
        <v>49.670000000000009</v>
      </c>
      <c r="BG78" s="197">
        <f t="shared" si="111"/>
        <v>418.46450266252003</v>
      </c>
      <c r="BH78" s="197">
        <f t="shared" si="112"/>
        <v>418.46450266252003</v>
      </c>
      <c r="BI78" s="198"/>
      <c r="BJ78" s="257">
        <v>0</v>
      </c>
      <c r="BK78" s="195">
        <v>0</v>
      </c>
      <c r="BL78" s="196">
        <f t="shared" si="113"/>
        <v>49.670000000000009</v>
      </c>
      <c r="BM78" s="197">
        <f t="shared" si="114"/>
        <v>418.46450266252003</v>
      </c>
      <c r="BN78" s="197">
        <f t="shared" si="115"/>
        <v>418.46450266252003</v>
      </c>
      <c r="BO78" s="198"/>
      <c r="BP78" s="201">
        <f t="shared" si="98"/>
        <v>-14.03</v>
      </c>
      <c r="BQ78" s="199"/>
      <c r="BR78" s="200"/>
      <c r="BS78" s="201" t="s">
        <v>114</v>
      </c>
      <c r="BT78" s="201" t="s">
        <v>114</v>
      </c>
      <c r="BU78" s="183" t="s">
        <v>114</v>
      </c>
      <c r="BV78" s="199"/>
      <c r="BW78" s="199"/>
      <c r="BX78" s="200"/>
      <c r="BY78" s="201" t="s">
        <v>114</v>
      </c>
      <c r="BZ78" s="201" t="s">
        <v>114</v>
      </c>
      <c r="CA78" s="183" t="s">
        <v>114</v>
      </c>
    </row>
    <row r="79" spans="2:79" x14ac:dyDescent="0.25">
      <c r="B79" s="164">
        <v>42826</v>
      </c>
      <c r="C79" s="193">
        <f t="shared" si="88"/>
        <v>30</v>
      </c>
      <c r="D79" s="172">
        <v>51.12</v>
      </c>
      <c r="E79" s="167">
        <v>1.3444</v>
      </c>
      <c r="F79" s="174">
        <v>-3.24</v>
      </c>
      <c r="G79" s="169">
        <v>0.28060000000000002</v>
      </c>
      <c r="H79" s="170">
        <f t="shared" si="99"/>
        <v>47.913167321676504</v>
      </c>
      <c r="I79" s="168">
        <f t="shared" si="100"/>
        <v>405.35183641263995</v>
      </c>
      <c r="J79" s="168">
        <f t="shared" si="89"/>
        <v>405.07123641263996</v>
      </c>
      <c r="K79" s="171">
        <f t="shared" si="90"/>
        <v>0.93661971830985913</v>
      </c>
      <c r="L79" s="172">
        <f t="shared" si="101"/>
        <v>3.2600000000000002</v>
      </c>
      <c r="M79" s="168">
        <v>0.02</v>
      </c>
      <c r="N79" s="168">
        <f t="shared" si="91"/>
        <v>50.869318721884497</v>
      </c>
      <c r="O79" s="174">
        <f t="shared" si="92"/>
        <v>430.36127464791997</v>
      </c>
      <c r="P79" s="174">
        <f t="shared" si="93"/>
        <v>432.65127464791999</v>
      </c>
      <c r="Q79" s="249">
        <f t="shared" si="94"/>
        <v>1.0003912363067293</v>
      </c>
      <c r="R79" s="250"/>
      <c r="S79" s="251"/>
      <c r="T79" s="178">
        <f t="shared" si="95"/>
        <v>430.19207195935996</v>
      </c>
      <c r="U79" s="178">
        <f t="shared" si="96"/>
        <v>432.48207195935998</v>
      </c>
      <c r="V79" s="251"/>
      <c r="W79" s="250"/>
      <c r="X79" s="179">
        <v>-2.29</v>
      </c>
      <c r="Y79" s="180">
        <v>0.28999999999999998</v>
      </c>
      <c r="Z79" s="181"/>
      <c r="AA79" s="182">
        <v>-14.28</v>
      </c>
      <c r="AB79" s="182">
        <f t="shared" si="102"/>
        <v>311.51982234160801</v>
      </c>
      <c r="AC79" s="183">
        <f t="shared" si="103"/>
        <v>36.839999999999996</v>
      </c>
      <c r="AD79" s="184"/>
      <c r="AE79" s="184"/>
      <c r="AF79" s="184"/>
      <c r="AG79" s="185">
        <f t="shared" si="85"/>
        <v>11.04</v>
      </c>
      <c r="AH79" s="186">
        <f t="shared" si="97"/>
        <v>0.72065727699530513</v>
      </c>
      <c r="AI79" s="187"/>
      <c r="AJ79" s="242">
        <v>0.75</v>
      </c>
      <c r="AK79" s="189">
        <f t="shared" si="86"/>
        <v>38.339999999999996</v>
      </c>
      <c r="AL79" s="190">
        <f t="shared" si="87"/>
        <v>324.36155396951995</v>
      </c>
      <c r="AM79" s="191"/>
      <c r="AN79" s="178"/>
      <c r="AO79" s="168"/>
      <c r="AP79" s="174"/>
      <c r="AQ79" s="252"/>
      <c r="AR79" s="257">
        <v>0</v>
      </c>
      <c r="AS79" s="195">
        <v>0</v>
      </c>
      <c r="AT79" s="196">
        <f t="shared" si="104"/>
        <v>51.12</v>
      </c>
      <c r="AU79" s="197">
        <f t="shared" si="105"/>
        <v>432.48207195935998</v>
      </c>
      <c r="AV79" s="197">
        <f t="shared" si="106"/>
        <v>432.48207195935998</v>
      </c>
      <c r="AW79" s="198"/>
      <c r="AX79" s="257">
        <v>0</v>
      </c>
      <c r="AY79" s="195">
        <v>0</v>
      </c>
      <c r="AZ79" s="196">
        <f t="shared" si="107"/>
        <v>51.12</v>
      </c>
      <c r="BA79" s="197">
        <f t="shared" si="108"/>
        <v>432.48207195935998</v>
      </c>
      <c r="BB79" s="197">
        <f t="shared" si="109"/>
        <v>432.48207195935998</v>
      </c>
      <c r="BC79" s="198"/>
      <c r="BD79" s="257">
        <v>0</v>
      </c>
      <c r="BE79" s="195">
        <v>0</v>
      </c>
      <c r="BF79" s="196">
        <f t="shared" si="110"/>
        <v>51.12</v>
      </c>
      <c r="BG79" s="197">
        <f t="shared" si="111"/>
        <v>432.48207195935998</v>
      </c>
      <c r="BH79" s="197">
        <f t="shared" si="112"/>
        <v>432.48207195935998</v>
      </c>
      <c r="BI79" s="198"/>
      <c r="BJ79" s="257">
        <v>0</v>
      </c>
      <c r="BK79" s="195">
        <v>0</v>
      </c>
      <c r="BL79" s="196">
        <f t="shared" si="113"/>
        <v>51.12</v>
      </c>
      <c r="BM79" s="197">
        <f t="shared" si="114"/>
        <v>432.48207195935998</v>
      </c>
      <c r="BN79" s="197">
        <f t="shared" si="115"/>
        <v>432.48207195935998</v>
      </c>
      <c r="BO79" s="198"/>
      <c r="BP79" s="201">
        <f t="shared" si="98"/>
        <v>-14.03</v>
      </c>
      <c r="BQ79" s="199"/>
      <c r="BR79" s="200"/>
      <c r="BS79" s="201" t="s">
        <v>114</v>
      </c>
      <c r="BT79" s="201" t="s">
        <v>114</v>
      </c>
      <c r="BU79" s="183" t="s">
        <v>114</v>
      </c>
      <c r="BV79" s="199"/>
      <c r="BW79" s="199"/>
      <c r="BX79" s="200"/>
      <c r="BY79" s="201" t="s">
        <v>114</v>
      </c>
      <c r="BZ79" s="201" t="s">
        <v>114</v>
      </c>
      <c r="CA79" s="183" t="s">
        <v>114</v>
      </c>
    </row>
    <row r="80" spans="2:79" x14ac:dyDescent="0.25">
      <c r="B80" s="164">
        <v>42856</v>
      </c>
      <c r="C80" s="193">
        <f t="shared" si="88"/>
        <v>31</v>
      </c>
      <c r="D80" s="172">
        <v>48.54</v>
      </c>
      <c r="E80" s="167">
        <v>1.36033</v>
      </c>
      <c r="F80" s="174">
        <v>-0.9</v>
      </c>
      <c r="G80" s="169">
        <v>-1.3385</v>
      </c>
      <c r="H80" s="170">
        <f t="shared" si="99"/>
        <v>47.483640115986972</v>
      </c>
      <c r="I80" s="168">
        <f t="shared" si="100"/>
        <v>406.47799591584402</v>
      </c>
      <c r="J80" s="168">
        <f t="shared" si="89"/>
        <v>407.81649591584403</v>
      </c>
      <c r="K80" s="171">
        <f t="shared" si="90"/>
        <v>0.98145859085290488</v>
      </c>
      <c r="L80" s="172">
        <f t="shared" si="101"/>
        <v>1.58</v>
      </c>
      <c r="M80" s="168">
        <v>0.68</v>
      </c>
      <c r="N80" s="168">
        <f t="shared" si="91"/>
        <v>48.563487076463801</v>
      </c>
      <c r="O80" s="174">
        <f t="shared" si="92"/>
        <v>415.72189607426202</v>
      </c>
      <c r="P80" s="174">
        <f t="shared" si="93"/>
        <v>421.34189607426202</v>
      </c>
      <c r="Q80" s="249">
        <f t="shared" si="94"/>
        <v>1.0140090646889164</v>
      </c>
      <c r="R80" s="250"/>
      <c r="S80" s="251"/>
      <c r="T80" s="178">
        <f t="shared" si="95"/>
        <v>409.90083777823395</v>
      </c>
      <c r="U80" s="178">
        <f t="shared" si="96"/>
        <v>415.52083777823395</v>
      </c>
      <c r="V80" s="251"/>
      <c r="W80" s="250"/>
      <c r="X80" s="179">
        <v>-5.62</v>
      </c>
      <c r="Y80" s="180">
        <v>0.21</v>
      </c>
      <c r="Z80" s="181"/>
      <c r="AA80" s="182">
        <v>-9.6999999999999993</v>
      </c>
      <c r="AB80" s="182">
        <f t="shared" si="102"/>
        <v>332.32350391434062</v>
      </c>
      <c r="AC80" s="183">
        <f t="shared" si="103"/>
        <v>38.840000000000003</v>
      </c>
      <c r="AD80" s="184"/>
      <c r="AE80" s="184"/>
      <c r="AF80" s="184"/>
      <c r="AG80" s="185">
        <f t="shared" si="85"/>
        <v>8.7999999999999989</v>
      </c>
      <c r="AH80" s="186">
        <f t="shared" si="97"/>
        <v>0.800164812525752</v>
      </c>
      <c r="AI80" s="187"/>
      <c r="AJ80" s="242">
        <v>0.75</v>
      </c>
      <c r="AK80" s="189">
        <f t="shared" si="86"/>
        <v>36.405000000000001</v>
      </c>
      <c r="AL80" s="190">
        <f t="shared" si="87"/>
        <v>311.64062833367552</v>
      </c>
      <c r="AM80" s="191"/>
      <c r="AN80" s="178"/>
      <c r="AO80" s="168"/>
      <c r="AP80" s="174"/>
      <c r="AQ80" s="252"/>
      <c r="AR80" s="257">
        <v>0</v>
      </c>
      <c r="AS80" s="195">
        <v>0</v>
      </c>
      <c r="AT80" s="196">
        <f t="shared" si="104"/>
        <v>48.539999999999992</v>
      </c>
      <c r="AU80" s="197">
        <f t="shared" si="105"/>
        <v>415.52083777823395</v>
      </c>
      <c r="AV80" s="197">
        <f t="shared" si="106"/>
        <v>415.52083777823395</v>
      </c>
      <c r="AW80" s="198"/>
      <c r="AX80" s="257">
        <v>0</v>
      </c>
      <c r="AY80" s="195">
        <v>0</v>
      </c>
      <c r="AZ80" s="196">
        <f t="shared" si="107"/>
        <v>48.539999999999992</v>
      </c>
      <c r="BA80" s="197">
        <f t="shared" si="108"/>
        <v>415.52083777823395</v>
      </c>
      <c r="BB80" s="197">
        <f t="shared" si="109"/>
        <v>415.52083777823395</v>
      </c>
      <c r="BC80" s="198"/>
      <c r="BD80" s="257">
        <v>0</v>
      </c>
      <c r="BE80" s="195">
        <v>0</v>
      </c>
      <c r="BF80" s="196">
        <f t="shared" si="110"/>
        <v>48.539999999999992</v>
      </c>
      <c r="BG80" s="197">
        <f t="shared" si="111"/>
        <v>415.52083777823395</v>
      </c>
      <c r="BH80" s="197">
        <f t="shared" si="112"/>
        <v>415.52083777823395</v>
      </c>
      <c r="BI80" s="198"/>
      <c r="BJ80" s="257">
        <v>0</v>
      </c>
      <c r="BK80" s="195">
        <v>0</v>
      </c>
      <c r="BL80" s="196">
        <f t="shared" si="113"/>
        <v>48.539999999999992</v>
      </c>
      <c r="BM80" s="197">
        <f t="shared" si="114"/>
        <v>415.52083777823395</v>
      </c>
      <c r="BN80" s="197">
        <f t="shared" si="115"/>
        <v>415.52083777823395</v>
      </c>
      <c r="BO80" s="198"/>
      <c r="BP80" s="201">
        <f t="shared" si="98"/>
        <v>-9.4499999999999993</v>
      </c>
      <c r="BQ80" s="199"/>
      <c r="BR80" s="200"/>
      <c r="BS80" s="201" t="s">
        <v>114</v>
      </c>
      <c r="BT80" s="201" t="s">
        <v>114</v>
      </c>
      <c r="BU80" s="183" t="s">
        <v>114</v>
      </c>
      <c r="BV80" s="199"/>
      <c r="BW80" s="199"/>
      <c r="BX80" s="200"/>
      <c r="BY80" s="201" t="s">
        <v>114</v>
      </c>
      <c r="BZ80" s="201" t="s">
        <v>114</v>
      </c>
      <c r="CA80" s="183" t="s">
        <v>114</v>
      </c>
    </row>
    <row r="81" spans="2:79" x14ac:dyDescent="0.25">
      <c r="B81" s="164">
        <v>42887</v>
      </c>
      <c r="C81" s="193">
        <f t="shared" si="88"/>
        <v>30</v>
      </c>
      <c r="D81" s="172">
        <v>45.2</v>
      </c>
      <c r="E81" s="167">
        <v>1.32951</v>
      </c>
      <c r="F81" s="174">
        <v>-2.63</v>
      </c>
      <c r="G81" s="169">
        <v>-0.57999999999999996</v>
      </c>
      <c r="H81" s="170">
        <f t="shared" si="99"/>
        <v>42.500675359637491</v>
      </c>
      <c r="I81" s="168">
        <f t="shared" si="100"/>
        <v>355.57907808380895</v>
      </c>
      <c r="J81" s="168">
        <f t="shared" si="89"/>
        <v>356.15907808380894</v>
      </c>
      <c r="K81" s="171">
        <f t="shared" si="90"/>
        <v>0.94181415929203538</v>
      </c>
      <c r="L81" s="172">
        <f t="shared" si="101"/>
        <v>2.36</v>
      </c>
      <c r="M81" s="168">
        <v>-0.27</v>
      </c>
      <c r="N81" s="168">
        <f t="shared" si="91"/>
        <v>44.531980944125635</v>
      </c>
      <c r="O81" s="174">
        <f t="shared" si="92"/>
        <v>372.57386136494097</v>
      </c>
      <c r="P81" s="174">
        <f t="shared" si="93"/>
        <v>375.90386136494095</v>
      </c>
      <c r="Q81" s="249">
        <f t="shared" si="94"/>
        <v>0.99402654867256635</v>
      </c>
      <c r="R81" s="250"/>
      <c r="S81" s="251"/>
      <c r="T81" s="178">
        <f t="shared" si="95"/>
        <v>374.83279843524002</v>
      </c>
      <c r="U81" s="178">
        <f t="shared" si="96"/>
        <v>378.16279843524001</v>
      </c>
      <c r="V81" s="251"/>
      <c r="W81" s="250"/>
      <c r="X81" s="179">
        <v>-3.33</v>
      </c>
      <c r="Y81" s="180">
        <v>0.19</v>
      </c>
      <c r="Z81" s="181"/>
      <c r="AA81" s="182">
        <v>-9.4</v>
      </c>
      <c r="AB81" s="182">
        <f t="shared" si="102"/>
        <v>299.37270129120901</v>
      </c>
      <c r="AC81" s="183">
        <f t="shared" si="103"/>
        <v>35.800000000000004</v>
      </c>
      <c r="AD81" s="184"/>
      <c r="AE81" s="184"/>
      <c r="AF81" s="184"/>
      <c r="AG81" s="185">
        <f t="shared" si="85"/>
        <v>6.7700000000000005</v>
      </c>
      <c r="AH81" s="186">
        <f t="shared" si="97"/>
        <v>0.79203539823008851</v>
      </c>
      <c r="AI81" s="187"/>
      <c r="AJ81" s="242">
        <v>0.75</v>
      </c>
      <c r="AK81" s="189">
        <f t="shared" si="86"/>
        <v>33.900000000000006</v>
      </c>
      <c r="AL81" s="190">
        <f t="shared" si="87"/>
        <v>283.62209882643003</v>
      </c>
      <c r="AM81" s="191"/>
      <c r="AN81" s="178"/>
      <c r="AO81" s="168"/>
      <c r="AP81" s="174"/>
      <c r="AQ81" s="252"/>
      <c r="AR81" s="257">
        <v>0</v>
      </c>
      <c r="AS81" s="195">
        <v>0</v>
      </c>
      <c r="AT81" s="196">
        <f t="shared" si="104"/>
        <v>45.2</v>
      </c>
      <c r="AU81" s="197">
        <f t="shared" si="105"/>
        <v>378.16279843524001</v>
      </c>
      <c r="AV81" s="197">
        <f t="shared" si="106"/>
        <v>378.16279843524001</v>
      </c>
      <c r="AW81" s="198"/>
      <c r="AX81" s="257">
        <v>0</v>
      </c>
      <c r="AY81" s="195">
        <v>0</v>
      </c>
      <c r="AZ81" s="196">
        <f t="shared" si="107"/>
        <v>45.2</v>
      </c>
      <c r="BA81" s="197">
        <f t="shared" si="108"/>
        <v>378.16279843524001</v>
      </c>
      <c r="BB81" s="197">
        <f t="shared" si="109"/>
        <v>378.16279843524001</v>
      </c>
      <c r="BC81" s="198"/>
      <c r="BD81" s="257">
        <v>0</v>
      </c>
      <c r="BE81" s="195">
        <v>0</v>
      </c>
      <c r="BF81" s="196">
        <f t="shared" si="110"/>
        <v>45.2</v>
      </c>
      <c r="BG81" s="197">
        <f t="shared" si="111"/>
        <v>378.16279843524001</v>
      </c>
      <c r="BH81" s="197">
        <f t="shared" si="112"/>
        <v>378.16279843524001</v>
      </c>
      <c r="BI81" s="198"/>
      <c r="BJ81" s="257">
        <v>0</v>
      </c>
      <c r="BK81" s="195">
        <v>0</v>
      </c>
      <c r="BL81" s="196">
        <f t="shared" si="113"/>
        <v>45.2</v>
      </c>
      <c r="BM81" s="197">
        <f t="shared" si="114"/>
        <v>378.16279843524001</v>
      </c>
      <c r="BN81" s="197">
        <f t="shared" si="115"/>
        <v>378.16279843524001</v>
      </c>
      <c r="BO81" s="198"/>
      <c r="BP81" s="201">
        <f t="shared" si="98"/>
        <v>-9.15</v>
      </c>
      <c r="BQ81" s="199"/>
      <c r="BR81" s="200"/>
      <c r="BS81" s="201" t="s">
        <v>114</v>
      </c>
      <c r="BT81" s="201" t="s">
        <v>114</v>
      </c>
      <c r="BU81" s="183" t="s">
        <v>114</v>
      </c>
      <c r="BV81" s="199"/>
      <c r="BW81" s="199"/>
      <c r="BX81" s="200"/>
      <c r="BY81" s="201" t="s">
        <v>114</v>
      </c>
      <c r="BZ81" s="201" t="s">
        <v>114</v>
      </c>
      <c r="CA81" s="183" t="s">
        <v>114</v>
      </c>
    </row>
    <row r="82" spans="2:79" x14ac:dyDescent="0.25">
      <c r="B82" s="164">
        <v>42917</v>
      </c>
      <c r="C82" s="193">
        <f t="shared" si="88"/>
        <v>31</v>
      </c>
      <c r="D82" s="172">
        <v>46.68</v>
      </c>
      <c r="E82" s="167">
        <v>1.26874</v>
      </c>
      <c r="F82" s="174">
        <v>-2.88</v>
      </c>
      <c r="G82" s="169">
        <v>-1.03</v>
      </c>
      <c r="H82" s="170">
        <f t="shared" si="99"/>
        <v>43.67099224062293</v>
      </c>
      <c r="I82" s="168">
        <f t="shared" si="100"/>
        <v>348.66989571044002</v>
      </c>
      <c r="J82" s="168">
        <f t="shared" si="89"/>
        <v>349.69989571043999</v>
      </c>
      <c r="K82" s="171">
        <f t="shared" si="90"/>
        <v>0.93830334190231357</v>
      </c>
      <c r="L82" s="172">
        <f t="shared" si="101"/>
        <v>1.1099999999999999</v>
      </c>
      <c r="M82" s="168">
        <v>-1.77</v>
      </c>
      <c r="N82" s="168">
        <f t="shared" si="91"/>
        <v>44.253688680450608</v>
      </c>
      <c r="O82" s="174">
        <f t="shared" si="92"/>
        <v>353.32215334145792</v>
      </c>
      <c r="P82" s="174">
        <f t="shared" si="93"/>
        <v>358.56215334145793</v>
      </c>
      <c r="Q82" s="249">
        <f t="shared" si="94"/>
        <v>0.96208226221079685</v>
      </c>
      <c r="R82" s="250"/>
      <c r="S82" s="251"/>
      <c r="T82" s="178">
        <f t="shared" si="95"/>
        <v>367.45386145578397</v>
      </c>
      <c r="U82" s="178">
        <f t="shared" si="96"/>
        <v>372.69386145578397</v>
      </c>
      <c r="V82" s="251"/>
      <c r="W82" s="250"/>
      <c r="X82" s="179">
        <v>-5.24</v>
      </c>
      <c r="Y82" s="180">
        <v>0.17</v>
      </c>
      <c r="Z82" s="181"/>
      <c r="AA82" s="182">
        <v>-10.31</v>
      </c>
      <c r="AB82" s="182">
        <f t="shared" si="102"/>
        <v>290.23747990001488</v>
      </c>
      <c r="AC82" s="183">
        <f t="shared" si="103"/>
        <v>36.369999999999997</v>
      </c>
      <c r="AD82" s="184"/>
      <c r="AE82" s="184"/>
      <c r="AF82" s="184"/>
      <c r="AG82" s="185">
        <f t="shared" si="85"/>
        <v>7.4300000000000006</v>
      </c>
      <c r="AH82" s="186">
        <f t="shared" si="97"/>
        <v>0.77913453299057411</v>
      </c>
      <c r="AI82" s="187"/>
      <c r="AJ82" s="242">
        <v>0.75</v>
      </c>
      <c r="AK82" s="189">
        <f t="shared" si="86"/>
        <v>35.01</v>
      </c>
      <c r="AL82" s="190">
        <f t="shared" si="87"/>
        <v>279.52039609183799</v>
      </c>
      <c r="AM82" s="191"/>
      <c r="AN82" s="178"/>
      <c r="AO82" s="168"/>
      <c r="AP82" s="174"/>
      <c r="AQ82" s="252"/>
      <c r="AR82" s="257">
        <v>0</v>
      </c>
      <c r="AS82" s="195">
        <v>0</v>
      </c>
      <c r="AT82" s="196">
        <f t="shared" si="104"/>
        <v>46.68</v>
      </c>
      <c r="AU82" s="197">
        <f t="shared" si="105"/>
        <v>372.69386145578397</v>
      </c>
      <c r="AV82" s="197">
        <f t="shared" si="106"/>
        <v>372.69386145578397</v>
      </c>
      <c r="AW82" s="198"/>
      <c r="AX82" s="257">
        <v>0</v>
      </c>
      <c r="AY82" s="195">
        <v>0</v>
      </c>
      <c r="AZ82" s="196">
        <f t="shared" si="107"/>
        <v>46.68</v>
      </c>
      <c r="BA82" s="197">
        <f t="shared" si="108"/>
        <v>372.69386145578397</v>
      </c>
      <c r="BB82" s="197">
        <f t="shared" si="109"/>
        <v>372.69386145578397</v>
      </c>
      <c r="BC82" s="198"/>
      <c r="BD82" s="257">
        <v>0</v>
      </c>
      <c r="BE82" s="195">
        <v>0</v>
      </c>
      <c r="BF82" s="196">
        <f t="shared" si="110"/>
        <v>46.68</v>
      </c>
      <c r="BG82" s="197">
        <f t="shared" si="111"/>
        <v>372.69386145578397</v>
      </c>
      <c r="BH82" s="197">
        <f t="shared" si="112"/>
        <v>372.69386145578397</v>
      </c>
      <c r="BI82" s="198"/>
      <c r="BJ82" s="257">
        <v>0</v>
      </c>
      <c r="BK82" s="195">
        <v>0</v>
      </c>
      <c r="BL82" s="196">
        <f t="shared" si="113"/>
        <v>46.68</v>
      </c>
      <c r="BM82" s="197">
        <f t="shared" si="114"/>
        <v>372.69386145578397</v>
      </c>
      <c r="BN82" s="197">
        <f t="shared" si="115"/>
        <v>372.69386145578397</v>
      </c>
      <c r="BO82" s="198"/>
      <c r="BP82" s="201">
        <f t="shared" si="98"/>
        <v>-10.06</v>
      </c>
      <c r="BQ82" s="199"/>
      <c r="BR82" s="200"/>
      <c r="BS82" s="201" t="s">
        <v>114</v>
      </c>
      <c r="BT82" s="201" t="s">
        <v>114</v>
      </c>
      <c r="BU82" s="183" t="s">
        <v>114</v>
      </c>
      <c r="BV82" s="199"/>
      <c r="BW82" s="199"/>
      <c r="BX82" s="200"/>
      <c r="BY82" s="201" t="s">
        <v>114</v>
      </c>
      <c r="BZ82" s="201" t="s">
        <v>114</v>
      </c>
      <c r="CA82" s="183" t="s">
        <v>114</v>
      </c>
    </row>
    <row r="83" spans="2:79" x14ac:dyDescent="0.25">
      <c r="B83" s="164">
        <v>42948</v>
      </c>
      <c r="C83" s="193">
        <f t="shared" si="88"/>
        <v>31</v>
      </c>
      <c r="D83" s="172">
        <v>48.06</v>
      </c>
      <c r="E83" s="167">
        <v>1.26051</v>
      </c>
      <c r="F83" s="174">
        <v>-2.73</v>
      </c>
      <c r="G83" s="169">
        <v>-0.92</v>
      </c>
      <c r="H83" s="170">
        <f t="shared" si="99"/>
        <v>45.214017418237553</v>
      </c>
      <c r="I83" s="168">
        <f t="shared" si="100"/>
        <v>358.64778480252096</v>
      </c>
      <c r="J83" s="168">
        <f t="shared" si="89"/>
        <v>359.56778480252098</v>
      </c>
      <c r="K83" s="171">
        <f t="shared" si="90"/>
        <v>0.94319600499375789</v>
      </c>
      <c r="L83" s="172">
        <f t="shared" si="101"/>
        <v>2.2799999999999998</v>
      </c>
      <c r="M83" s="168">
        <v>-0.45</v>
      </c>
      <c r="N83" s="168">
        <f t="shared" si="91"/>
        <v>47.176325998627384</v>
      </c>
      <c r="O83" s="174">
        <f t="shared" si="92"/>
        <v>374.21325908775702</v>
      </c>
      <c r="P83" s="174">
        <f t="shared" si="93"/>
        <v>377.65325908775702</v>
      </c>
      <c r="Q83" s="249">
        <f t="shared" si="94"/>
        <v>0.99063670411985016</v>
      </c>
      <c r="R83" s="250"/>
      <c r="S83" s="251"/>
      <c r="T83" s="178">
        <f t="shared" si="95"/>
        <v>377.782760591422</v>
      </c>
      <c r="U83" s="178">
        <f t="shared" si="96"/>
        <v>381.222760591422</v>
      </c>
      <c r="V83" s="251"/>
      <c r="W83" s="250"/>
      <c r="X83" s="179">
        <v>-3.44</v>
      </c>
      <c r="Y83" s="180">
        <v>0.19</v>
      </c>
      <c r="Z83" s="181"/>
      <c r="AA83" s="182">
        <v>-9.56</v>
      </c>
      <c r="AB83" s="182">
        <f t="shared" si="102"/>
        <v>305.24220778416748</v>
      </c>
      <c r="AC83" s="183">
        <f t="shared" si="103"/>
        <v>38.5</v>
      </c>
      <c r="AD83" s="184"/>
      <c r="AE83" s="184"/>
      <c r="AF83" s="184"/>
      <c r="AG83" s="185">
        <f t="shared" si="85"/>
        <v>6.83</v>
      </c>
      <c r="AH83" s="186">
        <f t="shared" si="97"/>
        <v>0.80108198085726168</v>
      </c>
      <c r="AI83" s="187"/>
      <c r="AJ83" s="242">
        <v>0.75</v>
      </c>
      <c r="AK83" s="189">
        <f t="shared" si="86"/>
        <v>36.045000000000002</v>
      </c>
      <c r="AL83" s="190">
        <f t="shared" si="87"/>
        <v>285.9170704435665</v>
      </c>
      <c r="AM83" s="191"/>
      <c r="AN83" s="178"/>
      <c r="AO83" s="168"/>
      <c r="AP83" s="174"/>
      <c r="AQ83" s="252"/>
      <c r="AR83" s="257">
        <v>0</v>
      </c>
      <c r="AS83" s="195">
        <v>0</v>
      </c>
      <c r="AT83" s="196">
        <f t="shared" si="104"/>
        <v>48.06</v>
      </c>
      <c r="AU83" s="197">
        <f t="shared" si="105"/>
        <v>381.222760591422</v>
      </c>
      <c r="AV83" s="197">
        <f t="shared" si="106"/>
        <v>381.222760591422</v>
      </c>
      <c r="AW83" s="198"/>
      <c r="AX83" s="257">
        <v>0</v>
      </c>
      <c r="AY83" s="195">
        <v>0</v>
      </c>
      <c r="AZ83" s="196">
        <f t="shared" si="107"/>
        <v>48.06</v>
      </c>
      <c r="BA83" s="197">
        <f t="shared" si="108"/>
        <v>381.222760591422</v>
      </c>
      <c r="BB83" s="197">
        <f t="shared" si="109"/>
        <v>381.222760591422</v>
      </c>
      <c r="BC83" s="198"/>
      <c r="BD83" s="257">
        <v>0</v>
      </c>
      <c r="BE83" s="195">
        <v>0</v>
      </c>
      <c r="BF83" s="196">
        <f t="shared" si="110"/>
        <v>48.06</v>
      </c>
      <c r="BG83" s="197">
        <f t="shared" si="111"/>
        <v>381.222760591422</v>
      </c>
      <c r="BH83" s="197">
        <f t="shared" si="112"/>
        <v>381.222760591422</v>
      </c>
      <c r="BI83" s="198"/>
      <c r="BJ83" s="257">
        <v>0</v>
      </c>
      <c r="BK83" s="195">
        <v>0</v>
      </c>
      <c r="BL83" s="196">
        <f t="shared" si="113"/>
        <v>48.06</v>
      </c>
      <c r="BM83" s="197">
        <f t="shared" si="114"/>
        <v>381.222760591422</v>
      </c>
      <c r="BN83" s="197">
        <f t="shared" si="115"/>
        <v>381.222760591422</v>
      </c>
      <c r="BO83" s="198"/>
      <c r="BP83" s="201">
        <f t="shared" si="98"/>
        <v>-9.31</v>
      </c>
      <c r="BQ83" s="199"/>
      <c r="BR83" s="200"/>
      <c r="BS83" s="201" t="s">
        <v>114</v>
      </c>
      <c r="BT83" s="201" t="s">
        <v>114</v>
      </c>
      <c r="BU83" s="183" t="s">
        <v>114</v>
      </c>
      <c r="BV83" s="199"/>
      <c r="BW83" s="199"/>
      <c r="BX83" s="200"/>
      <c r="BY83" s="201" t="s">
        <v>114</v>
      </c>
      <c r="BZ83" s="201" t="s">
        <v>114</v>
      </c>
      <c r="CA83" s="183" t="s">
        <v>114</v>
      </c>
    </row>
    <row r="84" spans="2:79" x14ac:dyDescent="0.25">
      <c r="B84" s="164">
        <v>42979</v>
      </c>
      <c r="C84" s="193">
        <f t="shared" si="88"/>
        <v>30</v>
      </c>
      <c r="D84" s="172">
        <v>49.88</v>
      </c>
      <c r="E84" s="167">
        <v>1.2279800000000001</v>
      </c>
      <c r="F84" s="174">
        <v>-3.05</v>
      </c>
      <c r="G84" s="169">
        <v>-0.24</v>
      </c>
      <c r="H84" s="170">
        <f t="shared" si="99"/>
        <v>46.798942164302915</v>
      </c>
      <c r="I84" s="168">
        <f t="shared" si="100"/>
        <v>361.63969147675806</v>
      </c>
      <c r="J84" s="168">
        <f t="shared" si="89"/>
        <v>361.87969147675807</v>
      </c>
      <c r="K84" s="171">
        <f t="shared" si="90"/>
        <v>0.93885324779470736</v>
      </c>
      <c r="L84" s="172">
        <f t="shared" si="101"/>
        <v>3.46</v>
      </c>
      <c r="M84" s="168">
        <v>0.41</v>
      </c>
      <c r="N84" s="168">
        <f t="shared" si="91"/>
        <v>49.886248135937784</v>
      </c>
      <c r="O84" s="174">
        <f t="shared" si="92"/>
        <v>385.49690549575399</v>
      </c>
      <c r="P84" s="174">
        <f t="shared" si="93"/>
        <v>388.616905495754</v>
      </c>
      <c r="Q84" s="249">
        <f t="shared" si="94"/>
        <v>1.0082197273456295</v>
      </c>
      <c r="R84" s="250"/>
      <c r="S84" s="251"/>
      <c r="T84" s="178">
        <f t="shared" si="95"/>
        <v>382.32862290968802</v>
      </c>
      <c r="U84" s="178">
        <f t="shared" si="96"/>
        <v>385.44862290968803</v>
      </c>
      <c r="V84" s="251"/>
      <c r="W84" s="250"/>
      <c r="X84" s="179">
        <v>-3.12</v>
      </c>
      <c r="Y84" s="180">
        <v>0.21</v>
      </c>
      <c r="Z84" s="181"/>
      <c r="AA84" s="182">
        <v>-9.9499999999999993</v>
      </c>
      <c r="AB84" s="182">
        <f t="shared" si="102"/>
        <v>308.40979660675475</v>
      </c>
      <c r="AC84" s="183">
        <f t="shared" si="103"/>
        <v>39.930000000000007</v>
      </c>
      <c r="AD84" s="184"/>
      <c r="AE84" s="184"/>
      <c r="AF84" s="184"/>
      <c r="AG84" s="185">
        <f t="shared" si="85"/>
        <v>6.8999999999999995</v>
      </c>
      <c r="AH84" s="186">
        <f t="shared" si="97"/>
        <v>0.8005212510024059</v>
      </c>
      <c r="AI84" s="187"/>
      <c r="AJ84" s="242">
        <v>0.75</v>
      </c>
      <c r="AK84" s="189">
        <f t="shared" si="86"/>
        <v>37.410000000000011</v>
      </c>
      <c r="AL84" s="190">
        <f t="shared" si="87"/>
        <v>289.08646718226606</v>
      </c>
      <c r="AM84" s="191"/>
      <c r="AN84" s="178"/>
      <c r="AO84" s="168"/>
      <c r="AP84" s="174"/>
      <c r="AQ84" s="252"/>
      <c r="AR84" s="257">
        <v>0</v>
      </c>
      <c r="AS84" s="195">
        <v>0</v>
      </c>
      <c r="AT84" s="196">
        <f t="shared" si="104"/>
        <v>49.88</v>
      </c>
      <c r="AU84" s="197">
        <f t="shared" si="105"/>
        <v>385.44862290968803</v>
      </c>
      <c r="AV84" s="197">
        <f t="shared" si="106"/>
        <v>385.44862290968803</v>
      </c>
      <c r="AW84" s="198"/>
      <c r="AX84" s="257">
        <v>0</v>
      </c>
      <c r="AY84" s="195">
        <v>0</v>
      </c>
      <c r="AZ84" s="196">
        <f t="shared" si="107"/>
        <v>49.88</v>
      </c>
      <c r="BA84" s="197">
        <f t="shared" si="108"/>
        <v>385.44862290968803</v>
      </c>
      <c r="BB84" s="197">
        <f t="shared" si="109"/>
        <v>385.44862290968803</v>
      </c>
      <c r="BC84" s="198"/>
      <c r="BD84" s="257">
        <v>0</v>
      </c>
      <c r="BE84" s="195">
        <v>0</v>
      </c>
      <c r="BF84" s="196">
        <f t="shared" si="110"/>
        <v>49.88</v>
      </c>
      <c r="BG84" s="197">
        <f t="shared" si="111"/>
        <v>385.44862290968803</v>
      </c>
      <c r="BH84" s="197">
        <f t="shared" si="112"/>
        <v>385.44862290968803</v>
      </c>
      <c r="BI84" s="198"/>
      <c r="BJ84" s="257">
        <v>0</v>
      </c>
      <c r="BK84" s="195">
        <v>0</v>
      </c>
      <c r="BL84" s="196">
        <f t="shared" si="113"/>
        <v>49.88</v>
      </c>
      <c r="BM84" s="197">
        <f t="shared" si="114"/>
        <v>385.44862290968803</v>
      </c>
      <c r="BN84" s="197">
        <f t="shared" si="115"/>
        <v>385.44862290968803</v>
      </c>
      <c r="BO84" s="198"/>
      <c r="BP84" s="201">
        <f t="shared" si="98"/>
        <v>-9.6999999999999993</v>
      </c>
      <c r="BQ84" s="199"/>
      <c r="BR84" s="200"/>
      <c r="BS84" s="201" t="s">
        <v>114</v>
      </c>
      <c r="BT84" s="201" t="s">
        <v>114</v>
      </c>
      <c r="BU84" s="183" t="s">
        <v>114</v>
      </c>
      <c r="BV84" s="199"/>
      <c r="BW84" s="199"/>
      <c r="BX84" s="200"/>
      <c r="BY84" s="201" t="s">
        <v>114</v>
      </c>
      <c r="BZ84" s="201" t="s">
        <v>114</v>
      </c>
      <c r="CA84" s="183" t="s">
        <v>114</v>
      </c>
    </row>
    <row r="85" spans="2:79" x14ac:dyDescent="0.25">
      <c r="B85" s="164">
        <v>43009</v>
      </c>
      <c r="C85" s="193">
        <f t="shared" si="88"/>
        <v>31</v>
      </c>
      <c r="D85" s="172">
        <v>51.59</v>
      </c>
      <c r="E85" s="167">
        <v>1.2606999999999999</v>
      </c>
      <c r="F85" s="174">
        <v>-1.38</v>
      </c>
      <c r="G85" s="169">
        <v>-0.5</v>
      </c>
      <c r="H85" s="170">
        <f t="shared" si="99"/>
        <v>50.146975488023664</v>
      </c>
      <c r="I85" s="168">
        <f t="shared" si="100"/>
        <v>397.83707890389002</v>
      </c>
      <c r="J85" s="168">
        <f t="shared" si="89"/>
        <v>398.33707890389002</v>
      </c>
      <c r="K85" s="171">
        <f t="shared" si="90"/>
        <v>0.97325062996704781</v>
      </c>
      <c r="L85" s="172">
        <f t="shared" si="101"/>
        <v>3.13</v>
      </c>
      <c r="M85" s="168">
        <v>1.75</v>
      </c>
      <c r="N85" s="168">
        <f t="shared" si="91"/>
        <v>53.096725383771314</v>
      </c>
      <c r="O85" s="174">
        <f t="shared" si="92"/>
        <v>421.23868728805996</v>
      </c>
      <c r="P85" s="174">
        <f t="shared" si="93"/>
        <v>423.16868728805997</v>
      </c>
      <c r="Q85" s="249">
        <f t="shared" si="94"/>
        <v>1.033921302578019</v>
      </c>
      <c r="R85" s="250"/>
      <c r="S85" s="251"/>
      <c r="T85" s="178">
        <f t="shared" si="95"/>
        <v>407.35520017230999</v>
      </c>
      <c r="U85" s="178">
        <f t="shared" si="96"/>
        <v>409.28520017231</v>
      </c>
      <c r="V85" s="251"/>
      <c r="W85" s="250"/>
      <c r="X85" s="179">
        <v>-1.93</v>
      </c>
      <c r="Y85" s="180">
        <v>0.27</v>
      </c>
      <c r="Z85" s="181"/>
      <c r="AA85" s="182">
        <v>-11.72</v>
      </c>
      <c r="AB85" s="182">
        <f t="shared" si="102"/>
        <v>316.15172056134452</v>
      </c>
      <c r="AC85" s="183">
        <f t="shared" si="103"/>
        <v>39.870000000000005</v>
      </c>
      <c r="AD85" s="184"/>
      <c r="AE85" s="184"/>
      <c r="AF85" s="184"/>
      <c r="AG85" s="185">
        <f t="shared" si="85"/>
        <v>10.34</v>
      </c>
      <c r="AH85" s="186">
        <f t="shared" si="97"/>
        <v>0.77282419073463848</v>
      </c>
      <c r="AI85" s="187"/>
      <c r="AJ85" s="242">
        <v>0.75</v>
      </c>
      <c r="AK85" s="189">
        <f t="shared" si="86"/>
        <v>38.692500000000003</v>
      </c>
      <c r="AL85" s="190">
        <f t="shared" si="87"/>
        <v>306.96390012923251</v>
      </c>
      <c r="AM85" s="191"/>
      <c r="AN85" s="178"/>
      <c r="AO85" s="168"/>
      <c r="AP85" s="174"/>
      <c r="AQ85" s="252"/>
      <c r="AR85" s="257">
        <v>0</v>
      </c>
      <c r="AS85" s="195">
        <v>0</v>
      </c>
      <c r="AT85" s="196">
        <f t="shared" si="104"/>
        <v>51.59</v>
      </c>
      <c r="AU85" s="197">
        <f t="shared" si="105"/>
        <v>409.28520017231</v>
      </c>
      <c r="AV85" s="197">
        <f t="shared" si="106"/>
        <v>409.28520017231</v>
      </c>
      <c r="AW85" s="198"/>
      <c r="AX85" s="257">
        <v>0</v>
      </c>
      <c r="AY85" s="195">
        <v>0</v>
      </c>
      <c r="AZ85" s="196">
        <f t="shared" si="107"/>
        <v>51.59</v>
      </c>
      <c r="BA85" s="197">
        <f t="shared" si="108"/>
        <v>409.28520017231</v>
      </c>
      <c r="BB85" s="197">
        <f t="shared" si="109"/>
        <v>409.28520017231</v>
      </c>
      <c r="BC85" s="198"/>
      <c r="BD85" s="257">
        <v>0</v>
      </c>
      <c r="BE85" s="195">
        <v>0</v>
      </c>
      <c r="BF85" s="196">
        <f t="shared" si="110"/>
        <v>51.59</v>
      </c>
      <c r="BG85" s="197">
        <f t="shared" si="111"/>
        <v>409.28520017231</v>
      </c>
      <c r="BH85" s="197">
        <f t="shared" si="112"/>
        <v>409.28520017231</v>
      </c>
      <c r="BI85" s="198"/>
      <c r="BJ85" s="257">
        <v>0</v>
      </c>
      <c r="BK85" s="195">
        <v>0</v>
      </c>
      <c r="BL85" s="196">
        <f t="shared" si="113"/>
        <v>51.59</v>
      </c>
      <c r="BM85" s="197">
        <f t="shared" si="114"/>
        <v>409.28520017231</v>
      </c>
      <c r="BN85" s="197">
        <f t="shared" si="115"/>
        <v>409.28520017231</v>
      </c>
      <c r="BO85" s="198"/>
      <c r="BP85" s="201">
        <f t="shared" si="98"/>
        <v>-11.47</v>
      </c>
      <c r="BQ85" s="199"/>
      <c r="BR85" s="200"/>
      <c r="BS85" s="201" t="s">
        <v>114</v>
      </c>
      <c r="BT85" s="201" t="s">
        <v>114</v>
      </c>
      <c r="BU85" s="183" t="s">
        <v>114</v>
      </c>
      <c r="BV85" s="199"/>
      <c r="BW85" s="199"/>
      <c r="BX85" s="200"/>
      <c r="BY85" s="201" t="s">
        <v>114</v>
      </c>
      <c r="BZ85" s="201" t="s">
        <v>114</v>
      </c>
      <c r="CA85" s="183" t="s">
        <v>114</v>
      </c>
    </row>
    <row r="86" spans="2:79" x14ac:dyDescent="0.25">
      <c r="B86" s="164">
        <v>43040</v>
      </c>
      <c r="C86" s="193">
        <f t="shared" si="88"/>
        <v>30</v>
      </c>
      <c r="D86" s="172">
        <v>56.66</v>
      </c>
      <c r="E86" s="167">
        <v>1.2768699999999999</v>
      </c>
      <c r="F86" s="174">
        <v>-0.81</v>
      </c>
      <c r="G86" s="169">
        <v>-0.01</v>
      </c>
      <c r="H86" s="170">
        <f t="shared" si="99"/>
        <v>55.848755472330794</v>
      </c>
      <c r="I86" s="168">
        <f t="shared" si="100"/>
        <v>448.75463080886493</v>
      </c>
      <c r="J86" s="168">
        <f t="shared" si="89"/>
        <v>448.76463080886492</v>
      </c>
      <c r="K86" s="171">
        <f t="shared" si="90"/>
        <v>0.98570420049417573</v>
      </c>
      <c r="L86" s="172">
        <f t="shared" si="101"/>
        <v>2.6500000000000004</v>
      </c>
      <c r="M86" s="168">
        <v>1.84</v>
      </c>
      <c r="N86" s="168">
        <f t="shared" si="91"/>
        <v>58.282207657889977</v>
      </c>
      <c r="O86" s="174">
        <f t="shared" si="92"/>
        <v>468.30784963864994</v>
      </c>
      <c r="P86" s="174">
        <f t="shared" si="93"/>
        <v>470.05784963864994</v>
      </c>
      <c r="Q86" s="249">
        <f t="shared" si="94"/>
        <v>1.032474408753971</v>
      </c>
      <c r="R86" s="250"/>
      <c r="S86" s="251"/>
      <c r="T86" s="178">
        <f t="shared" si="95"/>
        <v>453.5231241115539</v>
      </c>
      <c r="U86" s="178">
        <f t="shared" si="96"/>
        <v>455.2731241115539</v>
      </c>
      <c r="V86" s="251"/>
      <c r="W86" s="250"/>
      <c r="X86" s="179">
        <v>-1.75</v>
      </c>
      <c r="Y86" s="180">
        <v>0.27</v>
      </c>
      <c r="Z86" s="181"/>
      <c r="AA86" s="182">
        <v>-11.14</v>
      </c>
      <c r="AB86" s="182">
        <f t="shared" si="102"/>
        <v>365.58342556430512</v>
      </c>
      <c r="AC86" s="183">
        <f t="shared" si="103"/>
        <v>45.519999999999996</v>
      </c>
      <c r="AD86" s="184"/>
      <c r="AE86" s="184"/>
      <c r="AF86" s="184"/>
      <c r="AG86" s="185">
        <f t="shared" si="85"/>
        <v>10.33</v>
      </c>
      <c r="AH86" s="186">
        <f t="shared" si="97"/>
        <v>0.80338863395693605</v>
      </c>
      <c r="AI86" s="187"/>
      <c r="AJ86" s="242">
        <v>0.75</v>
      </c>
      <c r="AK86" s="189">
        <f t="shared" si="86"/>
        <v>42.494999999999997</v>
      </c>
      <c r="AL86" s="190">
        <f t="shared" si="87"/>
        <v>341.45484308366548</v>
      </c>
      <c r="AM86" s="191"/>
      <c r="AN86" s="178">
        <v>-0.64</v>
      </c>
      <c r="AO86" s="168">
        <f t="shared" ref="AO86:AO100" si="116">AN86-F86</f>
        <v>0.17000000000000004</v>
      </c>
      <c r="AP86" s="174"/>
      <c r="AQ86" s="252"/>
      <c r="AR86" s="257">
        <v>0</v>
      </c>
      <c r="AS86" s="195">
        <v>0</v>
      </c>
      <c r="AT86" s="196">
        <f t="shared" si="104"/>
        <v>56.66</v>
      </c>
      <c r="AU86" s="197">
        <f t="shared" si="105"/>
        <v>455.27312411155395</v>
      </c>
      <c r="AV86" s="197">
        <f t="shared" si="106"/>
        <v>455.27312411155395</v>
      </c>
      <c r="AW86" s="198"/>
      <c r="AX86" s="257">
        <v>0</v>
      </c>
      <c r="AY86" s="195">
        <v>0</v>
      </c>
      <c r="AZ86" s="196">
        <f t="shared" si="107"/>
        <v>56.66</v>
      </c>
      <c r="BA86" s="197">
        <f t="shared" si="108"/>
        <v>455.27312411155395</v>
      </c>
      <c r="BB86" s="197">
        <f t="shared" si="109"/>
        <v>455.27312411155395</v>
      </c>
      <c r="BC86" s="198"/>
      <c r="BD86" s="257">
        <v>0</v>
      </c>
      <c r="BE86" s="195">
        <v>0</v>
      </c>
      <c r="BF86" s="196">
        <f t="shared" si="110"/>
        <v>56.66</v>
      </c>
      <c r="BG86" s="197">
        <f t="shared" si="111"/>
        <v>455.27312411155395</v>
      </c>
      <c r="BH86" s="197">
        <f t="shared" si="112"/>
        <v>455.27312411155395</v>
      </c>
      <c r="BI86" s="198"/>
      <c r="BJ86" s="257">
        <v>0</v>
      </c>
      <c r="BK86" s="195">
        <v>0</v>
      </c>
      <c r="BL86" s="196">
        <f t="shared" si="113"/>
        <v>56.66</v>
      </c>
      <c r="BM86" s="197">
        <f t="shared" si="114"/>
        <v>455.27312411155395</v>
      </c>
      <c r="BN86" s="197">
        <f t="shared" si="115"/>
        <v>455.27312411155395</v>
      </c>
      <c r="BO86" s="198"/>
      <c r="BP86" s="201">
        <f t="shared" si="98"/>
        <v>-10.89</v>
      </c>
      <c r="BQ86" s="199"/>
      <c r="BR86" s="200"/>
      <c r="BS86" s="201" t="s">
        <v>114</v>
      </c>
      <c r="BT86" s="201" t="s">
        <v>114</v>
      </c>
      <c r="BU86" s="183" t="s">
        <v>114</v>
      </c>
      <c r="BV86" s="199"/>
      <c r="BW86" s="199"/>
      <c r="BX86" s="200"/>
      <c r="BY86" s="201" t="s">
        <v>114</v>
      </c>
      <c r="BZ86" s="201" t="s">
        <v>114</v>
      </c>
      <c r="CA86" s="183" t="s">
        <v>114</v>
      </c>
    </row>
    <row r="87" spans="2:79" x14ac:dyDescent="0.25">
      <c r="B87" s="202">
        <v>43070</v>
      </c>
      <c r="C87" s="231">
        <f t="shared" si="88"/>
        <v>31</v>
      </c>
      <c r="D87" s="210">
        <v>57.95</v>
      </c>
      <c r="E87" s="205">
        <v>1.2774000000000001</v>
      </c>
      <c r="F87" s="212">
        <v>-1.24</v>
      </c>
      <c r="G87" s="207">
        <v>-0.99522804460000003</v>
      </c>
      <c r="H87" s="208">
        <f t="shared" si="99"/>
        <v>56.586192505837573</v>
      </c>
      <c r="I87" s="206">
        <f t="shared" si="100"/>
        <v>454.86879530137998</v>
      </c>
      <c r="J87" s="206">
        <f t="shared" si="89"/>
        <v>455.86402334598</v>
      </c>
      <c r="K87" s="209">
        <f t="shared" si="90"/>
        <v>0.978602243313201</v>
      </c>
      <c r="L87" s="210">
        <f t="shared" si="101"/>
        <v>5.3500000000000005</v>
      </c>
      <c r="M87" s="206">
        <v>4.1100000000000003</v>
      </c>
      <c r="N87" s="206">
        <f t="shared" si="91"/>
        <v>62.237523657836391</v>
      </c>
      <c r="O87" s="212">
        <f t="shared" si="92"/>
        <v>500.29708936257998</v>
      </c>
      <c r="P87" s="212">
        <f t="shared" si="93"/>
        <v>498.87006328427998</v>
      </c>
      <c r="Q87" s="253">
        <f t="shared" si="94"/>
        <v>1.0709232096635031</v>
      </c>
      <c r="R87" s="254"/>
      <c r="S87" s="255"/>
      <c r="T87" s="216">
        <f t="shared" si="95"/>
        <v>467.25880447540004</v>
      </c>
      <c r="U87" s="216">
        <f t="shared" si="96"/>
        <v>465.83177839710004</v>
      </c>
      <c r="V87" s="255"/>
      <c r="W87" s="254"/>
      <c r="X87" s="217">
        <v>1.4270260782999999</v>
      </c>
      <c r="Y87" s="218">
        <v>0.37</v>
      </c>
      <c r="Z87" s="219"/>
      <c r="AA87" s="220">
        <v>-13.94</v>
      </c>
      <c r="AB87" s="220">
        <f t="shared" si="102"/>
        <v>353.60291907812706</v>
      </c>
      <c r="AC87" s="221">
        <f t="shared" si="103"/>
        <v>44.010000000000005</v>
      </c>
      <c r="AD87" s="222"/>
      <c r="AE87" s="222"/>
      <c r="AF87" s="222"/>
      <c r="AG87" s="223">
        <f t="shared" si="85"/>
        <v>12.7</v>
      </c>
      <c r="AH87" s="224">
        <f t="shared" si="97"/>
        <v>0.75944779982743749</v>
      </c>
      <c r="AI87" s="225"/>
      <c r="AJ87" s="243">
        <v>0.75</v>
      </c>
      <c r="AK87" s="189">
        <f t="shared" si="86"/>
        <v>43.462500000000006</v>
      </c>
      <c r="AL87" s="228">
        <f t="shared" si="87"/>
        <v>349.37383379782506</v>
      </c>
      <c r="AM87" s="229"/>
      <c r="AN87" s="216">
        <v>-1.24</v>
      </c>
      <c r="AO87" s="206">
        <f t="shared" si="116"/>
        <v>0</v>
      </c>
      <c r="AP87" s="212"/>
      <c r="AQ87" s="256"/>
      <c r="AR87" s="258">
        <v>0</v>
      </c>
      <c r="AS87" s="233">
        <v>0</v>
      </c>
      <c r="AT87" s="234">
        <f t="shared" si="104"/>
        <v>57.95</v>
      </c>
      <c r="AU87" s="235">
        <f t="shared" si="105"/>
        <v>465.83177839709998</v>
      </c>
      <c r="AV87" s="235">
        <f t="shared" si="106"/>
        <v>465.83177839709998</v>
      </c>
      <c r="AW87" s="236"/>
      <c r="AX87" s="258">
        <v>0</v>
      </c>
      <c r="AY87" s="233">
        <v>0</v>
      </c>
      <c r="AZ87" s="234">
        <f t="shared" si="107"/>
        <v>57.95</v>
      </c>
      <c r="BA87" s="235">
        <f t="shared" si="108"/>
        <v>465.83177839709998</v>
      </c>
      <c r="BB87" s="235">
        <f t="shared" si="109"/>
        <v>465.83177839709998</v>
      </c>
      <c r="BC87" s="236"/>
      <c r="BD87" s="258">
        <v>0</v>
      </c>
      <c r="BE87" s="233">
        <v>0</v>
      </c>
      <c r="BF87" s="234">
        <f t="shared" si="110"/>
        <v>57.95</v>
      </c>
      <c r="BG87" s="235">
        <f t="shared" si="111"/>
        <v>465.83177839709998</v>
      </c>
      <c r="BH87" s="235">
        <f t="shared" si="112"/>
        <v>465.83177839709998</v>
      </c>
      <c r="BI87" s="236"/>
      <c r="BJ87" s="258">
        <v>0</v>
      </c>
      <c r="BK87" s="233">
        <v>0</v>
      </c>
      <c r="BL87" s="234">
        <f t="shared" si="113"/>
        <v>57.95</v>
      </c>
      <c r="BM87" s="235">
        <f t="shared" si="114"/>
        <v>465.83177839709998</v>
      </c>
      <c r="BN87" s="235">
        <f t="shared" si="115"/>
        <v>465.83177839709998</v>
      </c>
      <c r="BO87" s="236"/>
      <c r="BP87" s="239">
        <f t="shared" si="98"/>
        <v>-13.69</v>
      </c>
      <c r="BQ87" s="237"/>
      <c r="BR87" s="238"/>
      <c r="BS87" s="239" t="s">
        <v>114</v>
      </c>
      <c r="BT87" s="239" t="s">
        <v>114</v>
      </c>
      <c r="BU87" s="221" t="s">
        <v>114</v>
      </c>
      <c r="BV87" s="237"/>
      <c r="BW87" s="237"/>
      <c r="BX87" s="238"/>
      <c r="BY87" s="239" t="s">
        <v>114</v>
      </c>
      <c r="BZ87" s="239" t="s">
        <v>114</v>
      </c>
      <c r="CA87" s="221" t="s">
        <v>114</v>
      </c>
    </row>
    <row r="88" spans="2:79" x14ac:dyDescent="0.25">
      <c r="B88" s="164">
        <v>43101</v>
      </c>
      <c r="C88" s="193">
        <f t="shared" si="88"/>
        <v>31</v>
      </c>
      <c r="D88" s="172">
        <v>63.66</v>
      </c>
      <c r="E88" s="167">
        <v>1.2428999999999999</v>
      </c>
      <c r="F88" s="174">
        <v>-3.94</v>
      </c>
      <c r="G88" s="169">
        <v>0.45523685000000003</v>
      </c>
      <c r="H88" s="170">
        <f t="shared" si="99"/>
        <v>59.778203950342558</v>
      </c>
      <c r="I88" s="168">
        <f t="shared" si="100"/>
        <v>467.54972995555994</v>
      </c>
      <c r="J88" s="168">
        <f t="shared" si="89"/>
        <v>467.09449310555993</v>
      </c>
      <c r="K88" s="171">
        <f t="shared" si="90"/>
        <v>0.93810870248193534</v>
      </c>
      <c r="L88" s="172">
        <f t="shared" si="101"/>
        <v>5.82</v>
      </c>
      <c r="M88" s="172">
        <v>1.88</v>
      </c>
      <c r="N88" s="168">
        <f t="shared" si="91"/>
        <v>65.210986354434965</v>
      </c>
      <c r="O88" s="174">
        <f t="shared" si="92"/>
        <v>510.0417383814198</v>
      </c>
      <c r="P88" s="174">
        <f t="shared" si="93"/>
        <v>512.61508838141981</v>
      </c>
      <c r="Q88" s="249">
        <f t="shared" si="94"/>
        <v>1.0295318881558277</v>
      </c>
      <c r="R88" s="250"/>
      <c r="S88" s="251"/>
      <c r="T88" s="178">
        <f t="shared" si="95"/>
        <v>495.33749111017988</v>
      </c>
      <c r="U88" s="178">
        <f t="shared" si="96"/>
        <v>497.91084111017989</v>
      </c>
      <c r="V88" s="251"/>
      <c r="W88" s="250"/>
      <c r="X88" s="179">
        <v>-2.57335</v>
      </c>
      <c r="Y88" s="180">
        <v>0.47</v>
      </c>
      <c r="Z88" s="181"/>
      <c r="AA88" s="182">
        <v>-21.13</v>
      </c>
      <c r="AB88" s="182">
        <f t="shared" si="102"/>
        <v>332.48276065823842</v>
      </c>
      <c r="AC88" s="183">
        <f t="shared" si="103"/>
        <v>42.53</v>
      </c>
      <c r="AD88" s="184"/>
      <c r="AE88" s="184"/>
      <c r="AF88" s="145"/>
      <c r="AG88" s="185">
        <f t="shared" si="85"/>
        <v>17.189999999999998</v>
      </c>
      <c r="AH88" s="186">
        <f t="shared" si="97"/>
        <v>0.66808042726987127</v>
      </c>
      <c r="AI88" s="187"/>
      <c r="AJ88" s="242">
        <v>0.75</v>
      </c>
      <c r="AK88" s="127">
        <f t="shared" si="86"/>
        <v>47.74499999999999</v>
      </c>
      <c r="AL88" s="190">
        <f t="shared" si="87"/>
        <v>373.4331308326349</v>
      </c>
      <c r="AM88" s="191"/>
      <c r="AN88" s="178">
        <v>-4.5599999999999996</v>
      </c>
      <c r="AO88" s="168">
        <f t="shared" si="116"/>
        <v>-0.61999999999999966</v>
      </c>
      <c r="AP88" s="174"/>
      <c r="AQ88" s="252"/>
      <c r="AR88" s="257">
        <v>0</v>
      </c>
      <c r="AS88" s="195">
        <v>0</v>
      </c>
      <c r="AT88" s="196">
        <f t="shared" si="104"/>
        <v>63.659999999999989</v>
      </c>
      <c r="AU88" s="197">
        <f t="shared" si="105"/>
        <v>497.91084111017989</v>
      </c>
      <c r="AV88" s="197">
        <f t="shared" si="106"/>
        <v>497.91084111017989</v>
      </c>
      <c r="AW88" s="198"/>
      <c r="AX88" s="257">
        <v>0</v>
      </c>
      <c r="AY88" s="195">
        <v>0</v>
      </c>
      <c r="AZ88" s="196">
        <f t="shared" si="107"/>
        <v>63.659999999999989</v>
      </c>
      <c r="BA88" s="197">
        <f t="shared" si="108"/>
        <v>497.91084111017989</v>
      </c>
      <c r="BB88" s="197">
        <f t="shared" si="109"/>
        <v>497.91084111017989</v>
      </c>
      <c r="BC88" s="198"/>
      <c r="BD88" s="257">
        <v>0</v>
      </c>
      <c r="BE88" s="195">
        <v>0</v>
      </c>
      <c r="BF88" s="196">
        <f t="shared" si="110"/>
        <v>63.659999999999989</v>
      </c>
      <c r="BG88" s="197">
        <f t="shared" si="111"/>
        <v>497.91084111017989</v>
      </c>
      <c r="BH88" s="197">
        <f t="shared" si="112"/>
        <v>497.91084111017989</v>
      </c>
      <c r="BI88" s="198"/>
      <c r="BJ88" s="257">
        <v>0</v>
      </c>
      <c r="BK88" s="195">
        <v>0</v>
      </c>
      <c r="BL88" s="196">
        <f t="shared" si="113"/>
        <v>63.659999999999989</v>
      </c>
      <c r="BM88" s="197">
        <f t="shared" si="114"/>
        <v>497.91084111017989</v>
      </c>
      <c r="BN88" s="197">
        <f t="shared" si="115"/>
        <v>497.91084111017989</v>
      </c>
      <c r="BO88" s="198"/>
      <c r="BP88" s="201">
        <f t="shared" si="98"/>
        <v>-20.88</v>
      </c>
      <c r="BQ88" s="199"/>
      <c r="BR88" s="200"/>
      <c r="BS88" s="201" t="s">
        <v>114</v>
      </c>
      <c r="BT88" s="201" t="s">
        <v>114</v>
      </c>
      <c r="BU88" s="183" t="s">
        <v>114</v>
      </c>
      <c r="BV88" s="199"/>
      <c r="BW88" s="199"/>
      <c r="BX88" s="200"/>
      <c r="BY88" s="201" t="s">
        <v>114</v>
      </c>
      <c r="BZ88" s="201" t="s">
        <v>114</v>
      </c>
      <c r="CA88" s="183" t="s">
        <v>114</v>
      </c>
    </row>
    <row r="89" spans="2:79" x14ac:dyDescent="0.25">
      <c r="B89" s="164">
        <v>43132</v>
      </c>
      <c r="C89" s="193">
        <f t="shared" si="88"/>
        <v>28</v>
      </c>
      <c r="D89" s="172">
        <v>62.18</v>
      </c>
      <c r="E89" s="167">
        <v>1.2589399999999999</v>
      </c>
      <c r="F89" s="174">
        <v>-7.13</v>
      </c>
      <c r="G89" s="169">
        <v>1.1512333124</v>
      </c>
      <c r="H89" s="170">
        <f t="shared" si="99"/>
        <v>55.195314701932382</v>
      </c>
      <c r="I89" s="168">
        <f t="shared" si="100"/>
        <v>437.27636727928996</v>
      </c>
      <c r="J89" s="168">
        <f t="shared" si="89"/>
        <v>436.12513396688996</v>
      </c>
      <c r="K89" s="171">
        <f t="shared" si="90"/>
        <v>0.88533290447089097</v>
      </c>
      <c r="L89" s="172">
        <f t="shared" si="101"/>
        <v>5.5</v>
      </c>
      <c r="M89" s="172">
        <v>-1.63</v>
      </c>
      <c r="N89" s="168">
        <f t="shared" si="91"/>
        <v>60.334151416085774</v>
      </c>
      <c r="O89" s="174">
        <f t="shared" si="92"/>
        <v>477.98800852168995</v>
      </c>
      <c r="P89" s="174">
        <f t="shared" si="93"/>
        <v>479.69803563478996</v>
      </c>
      <c r="Q89" s="249">
        <f t="shared" si="94"/>
        <v>0.97378578321003539</v>
      </c>
      <c r="R89" s="250"/>
      <c r="S89" s="251"/>
      <c r="T89" s="178">
        <f t="shared" si="95"/>
        <v>490.90143210690388</v>
      </c>
      <c r="U89" s="178">
        <f t="shared" si="96"/>
        <v>492.61145922000389</v>
      </c>
      <c r="V89" s="251"/>
      <c r="W89" s="250"/>
      <c r="X89" s="179">
        <v>-1.7100271131</v>
      </c>
      <c r="Y89" s="180">
        <v>0.47</v>
      </c>
      <c r="Z89" s="181"/>
      <c r="AA89" s="182">
        <v>-24.46</v>
      </c>
      <c r="AB89" s="182">
        <f t="shared" si="102"/>
        <v>298.68559484441636</v>
      </c>
      <c r="AC89" s="183">
        <f t="shared" si="103"/>
        <v>37.72</v>
      </c>
      <c r="AD89" s="184"/>
      <c r="AE89" s="184"/>
      <c r="AF89" s="183"/>
      <c r="AG89" s="185">
        <f t="shared" si="85"/>
        <v>17.330000000000002</v>
      </c>
      <c r="AH89" s="186">
        <f t="shared" si="97"/>
        <v>0.60662592473464139</v>
      </c>
      <c r="AI89" s="187"/>
      <c r="AJ89" s="242">
        <v>0.75</v>
      </c>
      <c r="AK89" s="166">
        <f t="shared" si="86"/>
        <v>46.635000000000005</v>
      </c>
      <c r="AL89" s="190">
        <f t="shared" si="87"/>
        <v>369.45859441500301</v>
      </c>
      <c r="AM89" s="191"/>
      <c r="AN89" s="178">
        <v>-6.83</v>
      </c>
      <c r="AO89" s="168">
        <f t="shared" si="116"/>
        <v>0.29999999999999982</v>
      </c>
      <c r="AP89" s="174"/>
      <c r="AQ89" s="252"/>
      <c r="AR89" s="257">
        <v>0</v>
      </c>
      <c r="AS89" s="195">
        <v>0</v>
      </c>
      <c r="AT89" s="196">
        <f t="shared" si="104"/>
        <v>62.18</v>
      </c>
      <c r="AU89" s="197">
        <f t="shared" si="105"/>
        <v>492.61145922000395</v>
      </c>
      <c r="AV89" s="197">
        <f t="shared" si="106"/>
        <v>492.61145922000395</v>
      </c>
      <c r="AW89" s="198"/>
      <c r="AX89" s="257">
        <v>0</v>
      </c>
      <c r="AY89" s="195">
        <v>0</v>
      </c>
      <c r="AZ89" s="196">
        <f t="shared" si="107"/>
        <v>62.18</v>
      </c>
      <c r="BA89" s="197">
        <f t="shared" si="108"/>
        <v>492.61145922000395</v>
      </c>
      <c r="BB89" s="197">
        <f t="shared" si="109"/>
        <v>492.61145922000395</v>
      </c>
      <c r="BC89" s="198"/>
      <c r="BD89" s="257">
        <v>0</v>
      </c>
      <c r="BE89" s="195">
        <v>0</v>
      </c>
      <c r="BF89" s="196">
        <f t="shared" si="110"/>
        <v>62.18</v>
      </c>
      <c r="BG89" s="197">
        <f t="shared" si="111"/>
        <v>492.61145922000395</v>
      </c>
      <c r="BH89" s="197">
        <f t="shared" si="112"/>
        <v>492.61145922000395</v>
      </c>
      <c r="BI89" s="198"/>
      <c r="BJ89" s="257">
        <v>0</v>
      </c>
      <c r="BK89" s="195">
        <v>0</v>
      </c>
      <c r="BL89" s="196">
        <f t="shared" si="113"/>
        <v>62.18</v>
      </c>
      <c r="BM89" s="197">
        <f t="shared" si="114"/>
        <v>492.61145922000395</v>
      </c>
      <c r="BN89" s="197">
        <f t="shared" si="115"/>
        <v>492.61145922000395</v>
      </c>
      <c r="BO89" s="198"/>
      <c r="BP89" s="201">
        <f t="shared" si="98"/>
        <v>-24.21</v>
      </c>
      <c r="BQ89" s="199"/>
      <c r="BR89" s="200"/>
      <c r="BS89" s="201" t="s">
        <v>114</v>
      </c>
      <c r="BT89" s="201" t="s">
        <v>114</v>
      </c>
      <c r="BU89" s="183" t="s">
        <v>114</v>
      </c>
      <c r="BV89" s="199"/>
      <c r="BW89" s="199"/>
      <c r="BX89" s="200"/>
      <c r="BY89" s="201" t="s">
        <v>114</v>
      </c>
      <c r="BZ89" s="201" t="s">
        <v>114</v>
      </c>
      <c r="CA89" s="183" t="s">
        <v>114</v>
      </c>
    </row>
    <row r="90" spans="2:79" x14ac:dyDescent="0.25">
      <c r="B90" s="164">
        <v>43160</v>
      </c>
      <c r="C90" s="193">
        <f t="shared" si="88"/>
        <v>31</v>
      </c>
      <c r="D90" s="172">
        <v>62.77</v>
      </c>
      <c r="E90" s="167">
        <v>1.2935399999999999</v>
      </c>
      <c r="F90" s="174">
        <v>-6.61</v>
      </c>
      <c r="G90" s="169">
        <v>0.5654841746</v>
      </c>
      <c r="H90" s="170">
        <f t="shared" si="99"/>
        <v>56.229469125600097</v>
      </c>
      <c r="I90" s="168">
        <f t="shared" si="100"/>
        <v>457.71232417296795</v>
      </c>
      <c r="J90" s="168">
        <f t="shared" si="89"/>
        <v>457.14683999836797</v>
      </c>
      <c r="K90" s="171">
        <f t="shared" si="90"/>
        <v>0.8946949179544369</v>
      </c>
      <c r="L90" s="172">
        <f t="shared" si="101"/>
        <v>6.87</v>
      </c>
      <c r="M90" s="172">
        <v>0.26</v>
      </c>
      <c r="N90" s="168">
        <f t="shared" si="91"/>
        <v>62.404620346804712</v>
      </c>
      <c r="O90" s="174">
        <f t="shared" si="92"/>
        <v>507.97854331979403</v>
      </c>
      <c r="P90" s="174">
        <f t="shared" si="93"/>
        <v>513.06918313919402</v>
      </c>
      <c r="Q90" s="249">
        <f t="shared" si="94"/>
        <v>1.0041421061016409</v>
      </c>
      <c r="R90" s="250"/>
      <c r="S90" s="251"/>
      <c r="T90" s="178">
        <f t="shared" si="95"/>
        <v>505.86212276424595</v>
      </c>
      <c r="U90" s="178">
        <f t="shared" si="96"/>
        <v>510.95276258364595</v>
      </c>
      <c r="V90" s="251"/>
      <c r="W90" s="250"/>
      <c r="X90" s="179">
        <v>-5.0906398193999998</v>
      </c>
      <c r="Y90" s="180">
        <v>0.57999999999999996</v>
      </c>
      <c r="Z90" s="181"/>
      <c r="AA90" s="182">
        <v>-27.24</v>
      </c>
      <c r="AB90" s="182">
        <f t="shared" si="102"/>
        <v>289.07639597726006</v>
      </c>
      <c r="AC90" s="183">
        <f t="shared" si="103"/>
        <v>35.53</v>
      </c>
      <c r="AD90" s="184"/>
      <c r="AE90" s="184"/>
      <c r="AF90" s="183"/>
      <c r="AG90" s="185">
        <f t="shared" si="85"/>
        <v>20.63</v>
      </c>
      <c r="AH90" s="186">
        <f t="shared" si="97"/>
        <v>0.56603472996654447</v>
      </c>
      <c r="AI90" s="187"/>
      <c r="AJ90" s="242">
        <v>0.75</v>
      </c>
      <c r="AK90" s="166">
        <f t="shared" si="86"/>
        <v>47.077500000000001</v>
      </c>
      <c r="AL90" s="190">
        <f t="shared" si="87"/>
        <v>383.21457193773449</v>
      </c>
      <c r="AM90" s="191"/>
      <c r="AN90" s="178">
        <v>-6.49</v>
      </c>
      <c r="AO90" s="168">
        <f t="shared" si="116"/>
        <v>0.12000000000000011</v>
      </c>
      <c r="AP90" s="174"/>
      <c r="AQ90" s="252"/>
      <c r="AR90" s="257">
        <v>0</v>
      </c>
      <c r="AS90" s="195">
        <v>0</v>
      </c>
      <c r="AT90" s="196">
        <f t="shared" si="104"/>
        <v>62.77</v>
      </c>
      <c r="AU90" s="197">
        <f t="shared" si="105"/>
        <v>510.95276258364601</v>
      </c>
      <c r="AV90" s="197">
        <f t="shared" si="106"/>
        <v>510.95276258364601</v>
      </c>
      <c r="AW90" s="198"/>
      <c r="AX90" s="257">
        <v>0</v>
      </c>
      <c r="AY90" s="195">
        <v>0</v>
      </c>
      <c r="AZ90" s="196">
        <f t="shared" si="107"/>
        <v>62.77</v>
      </c>
      <c r="BA90" s="197">
        <f t="shared" si="108"/>
        <v>510.95276258364601</v>
      </c>
      <c r="BB90" s="197">
        <f t="shared" si="109"/>
        <v>510.95276258364601</v>
      </c>
      <c r="BC90" s="198"/>
      <c r="BD90" s="257">
        <v>0</v>
      </c>
      <c r="BE90" s="195">
        <v>0</v>
      </c>
      <c r="BF90" s="196">
        <f t="shared" si="110"/>
        <v>62.77</v>
      </c>
      <c r="BG90" s="197">
        <f t="shared" si="111"/>
        <v>510.95276258364601</v>
      </c>
      <c r="BH90" s="197">
        <f t="shared" si="112"/>
        <v>510.95276258364601</v>
      </c>
      <c r="BI90" s="198"/>
      <c r="BJ90" s="257">
        <v>0</v>
      </c>
      <c r="BK90" s="195">
        <v>0</v>
      </c>
      <c r="BL90" s="196">
        <f t="shared" si="113"/>
        <v>62.77</v>
      </c>
      <c r="BM90" s="197">
        <f t="shared" si="114"/>
        <v>510.95276258364601</v>
      </c>
      <c r="BN90" s="197">
        <f t="shared" si="115"/>
        <v>510.95276258364601</v>
      </c>
      <c r="BO90" s="198"/>
      <c r="BP90" s="201">
        <f t="shared" si="98"/>
        <v>-26.99</v>
      </c>
      <c r="BQ90" s="199"/>
      <c r="BR90" s="200"/>
      <c r="BS90" s="201" t="s">
        <v>114</v>
      </c>
      <c r="BT90" s="201" t="s">
        <v>114</v>
      </c>
      <c r="BU90" s="183" t="s">
        <v>114</v>
      </c>
      <c r="BV90" s="199"/>
      <c r="BW90" s="199"/>
      <c r="BX90" s="200"/>
      <c r="BY90" s="201" t="s">
        <v>114</v>
      </c>
      <c r="BZ90" s="201" t="s">
        <v>114</v>
      </c>
      <c r="CA90" s="183" t="s">
        <v>114</v>
      </c>
    </row>
    <row r="91" spans="2:79" x14ac:dyDescent="0.25">
      <c r="B91" s="164">
        <v>43191</v>
      </c>
      <c r="C91" s="193">
        <f t="shared" si="88"/>
        <v>30</v>
      </c>
      <c r="D91" s="172">
        <v>66.319999999999993</v>
      </c>
      <c r="E91" s="167">
        <v>1.2732000000000001</v>
      </c>
      <c r="F91" s="174">
        <v>-3.66</v>
      </c>
      <c r="G91" s="169">
        <v>6.4505288699999996E-2</v>
      </c>
      <c r="H91" s="170">
        <f t="shared" si="99"/>
        <v>62.668051001977219</v>
      </c>
      <c r="I91" s="168">
        <f t="shared" si="100"/>
        <v>502.10156867213999</v>
      </c>
      <c r="J91" s="168">
        <f t="shared" si="89"/>
        <v>502.03706338344</v>
      </c>
      <c r="K91" s="171">
        <f t="shared" si="90"/>
        <v>0.94481302774427023</v>
      </c>
      <c r="L91" s="172">
        <f t="shared" si="101"/>
        <v>6.6</v>
      </c>
      <c r="M91" s="172">
        <v>2.94</v>
      </c>
      <c r="N91" s="168">
        <f t="shared" si="91"/>
        <v>68.244946487575191</v>
      </c>
      <c r="O91" s="174">
        <f t="shared" si="92"/>
        <v>546.78411307663998</v>
      </c>
      <c r="P91" s="174">
        <f t="shared" si="93"/>
        <v>554.91680513784002</v>
      </c>
      <c r="Q91" s="249">
        <f t="shared" si="94"/>
        <v>1.0443305186972256</v>
      </c>
      <c r="R91" s="250"/>
      <c r="S91" s="251"/>
      <c r="T91" s="178">
        <f t="shared" si="95"/>
        <v>523.22859174967994</v>
      </c>
      <c r="U91" s="178">
        <f t="shared" si="96"/>
        <v>531.36128381087997</v>
      </c>
      <c r="V91" s="251"/>
      <c r="W91" s="250"/>
      <c r="X91" s="179">
        <v>-8.1326920612000002</v>
      </c>
      <c r="Y91" s="180">
        <v>0.61</v>
      </c>
      <c r="Z91" s="181"/>
      <c r="AA91" s="182">
        <v>-25.86</v>
      </c>
      <c r="AB91" s="182">
        <f t="shared" si="102"/>
        <v>324.01123503915596</v>
      </c>
      <c r="AC91" s="183">
        <f t="shared" si="103"/>
        <v>40.459999999999994</v>
      </c>
      <c r="AD91" s="184"/>
      <c r="AE91" s="184"/>
      <c r="AF91" s="183"/>
      <c r="AG91" s="185">
        <f t="shared" si="85"/>
        <v>22.2</v>
      </c>
      <c r="AH91" s="186">
        <f t="shared" si="97"/>
        <v>0.61007237635705669</v>
      </c>
      <c r="AI91" s="187"/>
      <c r="AJ91" s="242">
        <v>0.75</v>
      </c>
      <c r="AK91" s="166">
        <f t="shared" si="86"/>
        <v>49.739999999999988</v>
      </c>
      <c r="AL91" s="190">
        <f t="shared" si="87"/>
        <v>398.52096285815998</v>
      </c>
      <c r="AM91" s="191"/>
      <c r="AN91" s="178">
        <v>-4.0599999999999996</v>
      </c>
      <c r="AO91" s="168">
        <f t="shared" si="116"/>
        <v>-0.39999999999999947</v>
      </c>
      <c r="AP91" s="174"/>
      <c r="AQ91" s="252"/>
      <c r="AR91" s="257">
        <v>0</v>
      </c>
      <c r="AS91" s="195">
        <v>0</v>
      </c>
      <c r="AT91" s="196">
        <f t="shared" si="104"/>
        <v>66.319999999999993</v>
      </c>
      <c r="AU91" s="197">
        <f t="shared" si="105"/>
        <v>531.36128381087997</v>
      </c>
      <c r="AV91" s="197">
        <f t="shared" si="106"/>
        <v>531.36128381087997</v>
      </c>
      <c r="AW91" s="198"/>
      <c r="AX91" s="257">
        <v>0</v>
      </c>
      <c r="AY91" s="195">
        <v>0</v>
      </c>
      <c r="AZ91" s="196">
        <f t="shared" si="107"/>
        <v>66.319999999999993</v>
      </c>
      <c r="BA91" s="197">
        <f t="shared" si="108"/>
        <v>531.36128381087997</v>
      </c>
      <c r="BB91" s="197">
        <f t="shared" si="109"/>
        <v>531.36128381087997</v>
      </c>
      <c r="BC91" s="198"/>
      <c r="BD91" s="257">
        <v>0</v>
      </c>
      <c r="BE91" s="195">
        <v>0</v>
      </c>
      <c r="BF91" s="196">
        <f t="shared" si="110"/>
        <v>66.319999999999993</v>
      </c>
      <c r="BG91" s="197">
        <f t="shared" si="111"/>
        <v>531.36128381087997</v>
      </c>
      <c r="BH91" s="197">
        <f t="shared" si="112"/>
        <v>531.36128381087997</v>
      </c>
      <c r="BI91" s="198"/>
      <c r="BJ91" s="257">
        <v>0</v>
      </c>
      <c r="BK91" s="195">
        <v>0</v>
      </c>
      <c r="BL91" s="196">
        <f t="shared" si="113"/>
        <v>66.319999999999993</v>
      </c>
      <c r="BM91" s="197">
        <f t="shared" si="114"/>
        <v>531.36128381087997</v>
      </c>
      <c r="BN91" s="197">
        <f t="shared" si="115"/>
        <v>531.36128381087997</v>
      </c>
      <c r="BO91" s="198"/>
      <c r="BP91" s="201">
        <f t="shared" si="98"/>
        <v>-25.61</v>
      </c>
      <c r="BQ91" s="199"/>
      <c r="BR91" s="200"/>
      <c r="BS91" s="201" t="s">
        <v>114</v>
      </c>
      <c r="BT91" s="201" t="s">
        <v>114</v>
      </c>
      <c r="BU91" s="183" t="s">
        <v>114</v>
      </c>
      <c r="BV91" s="199"/>
      <c r="BW91" s="199"/>
      <c r="BX91" s="200"/>
      <c r="BY91" s="201" t="s">
        <v>114</v>
      </c>
      <c r="BZ91" s="201" t="s">
        <v>114</v>
      </c>
      <c r="CA91" s="183" t="s">
        <v>114</v>
      </c>
    </row>
    <row r="92" spans="2:79" x14ac:dyDescent="0.25">
      <c r="B92" s="164">
        <v>43221</v>
      </c>
      <c r="C92" s="193">
        <f t="shared" si="88"/>
        <v>31</v>
      </c>
      <c r="D92" s="172">
        <v>69.98</v>
      </c>
      <c r="E92" s="167">
        <v>1.2874699999999999</v>
      </c>
      <c r="F92" s="174">
        <v>-5.92</v>
      </c>
      <c r="G92" s="169">
        <v>0.55642279800000005</v>
      </c>
      <c r="H92" s="170">
        <f t="shared" si="99"/>
        <v>64.128678221110007</v>
      </c>
      <c r="I92" s="168">
        <f t="shared" si="100"/>
        <v>519.56294136793395</v>
      </c>
      <c r="J92" s="168">
        <f t="shared" si="89"/>
        <v>519.00651856993397</v>
      </c>
      <c r="K92" s="171">
        <f t="shared" si="90"/>
        <v>0.91540440125750211</v>
      </c>
      <c r="L92" s="172">
        <f t="shared" si="101"/>
        <v>6.75</v>
      </c>
      <c r="M92" s="172">
        <v>0.83</v>
      </c>
      <c r="N92" s="168">
        <f t="shared" si="91"/>
        <v>69.762018710329215</v>
      </c>
      <c r="O92" s="174">
        <f t="shared" si="92"/>
        <v>565.20359755320885</v>
      </c>
      <c r="P92" s="174">
        <f t="shared" si="93"/>
        <v>573.6942176075089</v>
      </c>
      <c r="Q92" s="249">
        <f t="shared" si="94"/>
        <v>1.0118605315804516</v>
      </c>
      <c r="R92" s="250"/>
      <c r="S92" s="251"/>
      <c r="T92" s="178">
        <f t="shared" si="95"/>
        <v>558.47903604192186</v>
      </c>
      <c r="U92" s="178">
        <f t="shared" si="96"/>
        <v>566.96965609622191</v>
      </c>
      <c r="V92" s="251"/>
      <c r="W92" s="250"/>
      <c r="X92" s="179">
        <v>-8.4906200543000008</v>
      </c>
      <c r="Y92" s="180">
        <v>0.36</v>
      </c>
      <c r="Z92" s="181"/>
      <c r="AA92" s="182">
        <v>-16.73</v>
      </c>
      <c r="AB92" s="182">
        <f t="shared" si="102"/>
        <v>431.21542877616372</v>
      </c>
      <c r="AC92" s="183">
        <f t="shared" si="103"/>
        <v>53.25</v>
      </c>
      <c r="AD92" s="184"/>
      <c r="AE92" s="184"/>
      <c r="AF92" s="183"/>
      <c r="AG92" s="185">
        <f t="shared" si="85"/>
        <v>10.81</v>
      </c>
      <c r="AH92" s="186">
        <f t="shared" si="97"/>
        <v>0.76093169476993427</v>
      </c>
      <c r="AI92" s="187"/>
      <c r="AJ92" s="242">
        <v>0.75</v>
      </c>
      <c r="AK92" s="166">
        <f t="shared" si="86"/>
        <v>52.485000000000007</v>
      </c>
      <c r="AL92" s="190">
        <f t="shared" si="87"/>
        <v>425.22724207216646</v>
      </c>
      <c r="AM92" s="191"/>
      <c r="AN92" s="178">
        <v>-6.86</v>
      </c>
      <c r="AO92" s="168">
        <f t="shared" si="116"/>
        <v>-0.94000000000000039</v>
      </c>
      <c r="AP92" s="174"/>
      <c r="AQ92" s="252"/>
      <c r="AR92" s="257">
        <v>0</v>
      </c>
      <c r="AS92" s="195">
        <v>0</v>
      </c>
      <c r="AT92" s="196">
        <f t="shared" si="104"/>
        <v>69.980000000000018</v>
      </c>
      <c r="AU92" s="197">
        <f t="shared" si="105"/>
        <v>566.96965609622202</v>
      </c>
      <c r="AV92" s="197">
        <f t="shared" si="106"/>
        <v>566.96965609622202</v>
      </c>
      <c r="AW92" s="198"/>
      <c r="AX92" s="257">
        <v>0</v>
      </c>
      <c r="AY92" s="195">
        <v>0</v>
      </c>
      <c r="AZ92" s="196">
        <f t="shared" si="107"/>
        <v>69.980000000000018</v>
      </c>
      <c r="BA92" s="197">
        <f t="shared" si="108"/>
        <v>566.96965609622202</v>
      </c>
      <c r="BB92" s="197">
        <f t="shared" si="109"/>
        <v>566.96965609622202</v>
      </c>
      <c r="BC92" s="198"/>
      <c r="BD92" s="257">
        <v>0</v>
      </c>
      <c r="BE92" s="195">
        <v>0</v>
      </c>
      <c r="BF92" s="196">
        <f t="shared" si="110"/>
        <v>69.980000000000018</v>
      </c>
      <c r="BG92" s="197">
        <f t="shared" si="111"/>
        <v>566.96965609622202</v>
      </c>
      <c r="BH92" s="197">
        <f t="shared" si="112"/>
        <v>566.96965609622202</v>
      </c>
      <c r="BI92" s="198"/>
      <c r="BJ92" s="257">
        <v>0</v>
      </c>
      <c r="BK92" s="195">
        <v>0</v>
      </c>
      <c r="BL92" s="196">
        <f t="shared" si="113"/>
        <v>69.980000000000018</v>
      </c>
      <c r="BM92" s="197">
        <f t="shared" si="114"/>
        <v>566.96965609622202</v>
      </c>
      <c r="BN92" s="197">
        <f t="shared" si="115"/>
        <v>566.96965609622202</v>
      </c>
      <c r="BO92" s="198"/>
      <c r="BP92" s="201">
        <f t="shared" si="98"/>
        <v>-16.48</v>
      </c>
      <c r="BQ92" s="199"/>
      <c r="BR92" s="200"/>
      <c r="BS92" s="201" t="s">
        <v>114</v>
      </c>
      <c r="BT92" s="201" t="s">
        <v>114</v>
      </c>
      <c r="BU92" s="183" t="s">
        <v>114</v>
      </c>
      <c r="BV92" s="199"/>
      <c r="BW92" s="199"/>
      <c r="BX92" s="200"/>
      <c r="BY92" s="201" t="s">
        <v>114</v>
      </c>
      <c r="BZ92" s="201" t="s">
        <v>114</v>
      </c>
      <c r="CA92" s="183" t="s">
        <v>114</v>
      </c>
    </row>
    <row r="93" spans="2:79" x14ac:dyDescent="0.25">
      <c r="B93" s="164">
        <v>43252</v>
      </c>
      <c r="C93" s="193">
        <f t="shared" si="88"/>
        <v>30</v>
      </c>
      <c r="D93" s="172">
        <v>67.319999999999993</v>
      </c>
      <c r="E93" s="167">
        <v>1.3126</v>
      </c>
      <c r="F93" s="174">
        <v>-6.77</v>
      </c>
      <c r="G93" s="169">
        <v>0.1829937381</v>
      </c>
      <c r="H93" s="170">
        <f t="shared" si="99"/>
        <v>60.572154148822506</v>
      </c>
      <c r="I93" s="168">
        <f t="shared" si="100"/>
        <v>500.32727509719996</v>
      </c>
      <c r="J93" s="168">
        <f t="shared" si="89"/>
        <v>500.14428135909998</v>
      </c>
      <c r="K93" s="171">
        <f t="shared" si="90"/>
        <v>0.89943553178847302</v>
      </c>
      <c r="L93" s="172">
        <f t="shared" si="101"/>
        <v>5.85</v>
      </c>
      <c r="M93" s="172">
        <v>-0.92</v>
      </c>
      <c r="N93" s="168">
        <f t="shared" si="91"/>
        <v>66.058261085251686</v>
      </c>
      <c r="O93" s="174">
        <f t="shared" si="92"/>
        <v>545.64263448909992</v>
      </c>
      <c r="P93" s="174">
        <f t="shared" si="93"/>
        <v>548.46540515679987</v>
      </c>
      <c r="Q93" s="249">
        <f t="shared" si="94"/>
        <v>0.98633392751039806</v>
      </c>
      <c r="R93" s="250"/>
      <c r="S93" s="251"/>
      <c r="T93" s="178">
        <f t="shared" si="95"/>
        <v>553.24185395813993</v>
      </c>
      <c r="U93" s="178">
        <f t="shared" si="96"/>
        <v>556.06462462583988</v>
      </c>
      <c r="V93" s="251"/>
      <c r="W93" s="250"/>
      <c r="X93" s="179">
        <v>-2.8227706677</v>
      </c>
      <c r="Y93" s="180">
        <v>0.31</v>
      </c>
      <c r="Z93" s="181"/>
      <c r="AA93" s="182">
        <v>-15.22</v>
      </c>
      <c r="AB93" s="182">
        <f t="shared" si="102"/>
        <v>430.13787416582988</v>
      </c>
      <c r="AC93" s="183">
        <f t="shared" si="103"/>
        <v>52.099999999999994</v>
      </c>
      <c r="AD93" s="184"/>
      <c r="AE93" s="184"/>
      <c r="AF93" s="183"/>
      <c r="AG93" s="185">
        <f t="shared" si="85"/>
        <v>8.4500000000000011</v>
      </c>
      <c r="AH93" s="186">
        <f t="shared" si="97"/>
        <v>0.77391562685680337</v>
      </c>
      <c r="AI93" s="187"/>
      <c r="AJ93" s="242">
        <v>0.75</v>
      </c>
      <c r="AK93" s="166">
        <f t="shared" si="86"/>
        <v>50.489999999999995</v>
      </c>
      <c r="AL93" s="190">
        <f t="shared" si="87"/>
        <v>417.04846846937994</v>
      </c>
      <c r="AM93" s="191"/>
      <c r="AN93" s="178">
        <v>-6.86</v>
      </c>
      <c r="AO93" s="168">
        <f t="shared" si="116"/>
        <v>-9.0000000000000746E-2</v>
      </c>
      <c r="AP93" s="174"/>
      <c r="AQ93" s="252"/>
      <c r="AR93" s="257">
        <v>0</v>
      </c>
      <c r="AS93" s="195">
        <v>0</v>
      </c>
      <c r="AT93" s="196">
        <f t="shared" si="104"/>
        <v>67.319999999999993</v>
      </c>
      <c r="AU93" s="197">
        <f t="shared" si="105"/>
        <v>556.06462462583988</v>
      </c>
      <c r="AV93" s="197">
        <f t="shared" si="106"/>
        <v>556.06462462583988</v>
      </c>
      <c r="AW93" s="198"/>
      <c r="AX93" s="257">
        <v>0</v>
      </c>
      <c r="AY93" s="195">
        <v>0</v>
      </c>
      <c r="AZ93" s="196">
        <f t="shared" si="107"/>
        <v>67.319999999999993</v>
      </c>
      <c r="BA93" s="197">
        <f t="shared" si="108"/>
        <v>556.06462462583988</v>
      </c>
      <c r="BB93" s="197">
        <f t="shared" si="109"/>
        <v>556.06462462583988</v>
      </c>
      <c r="BC93" s="198"/>
      <c r="BD93" s="257">
        <v>0</v>
      </c>
      <c r="BE93" s="195">
        <v>0</v>
      </c>
      <c r="BF93" s="196">
        <f t="shared" si="110"/>
        <v>67.319999999999993</v>
      </c>
      <c r="BG93" s="197">
        <f t="shared" si="111"/>
        <v>556.06462462583988</v>
      </c>
      <c r="BH93" s="197">
        <f t="shared" si="112"/>
        <v>556.06462462583988</v>
      </c>
      <c r="BI93" s="198"/>
      <c r="BJ93" s="257">
        <v>0</v>
      </c>
      <c r="BK93" s="195">
        <v>0</v>
      </c>
      <c r="BL93" s="196">
        <f t="shared" si="113"/>
        <v>67.319999999999993</v>
      </c>
      <c r="BM93" s="197">
        <f t="shared" si="114"/>
        <v>556.06462462583988</v>
      </c>
      <c r="BN93" s="197">
        <f t="shared" si="115"/>
        <v>556.06462462583988</v>
      </c>
      <c r="BO93" s="198"/>
      <c r="BP93" s="201">
        <f t="shared" si="98"/>
        <v>-14.97</v>
      </c>
      <c r="BQ93" s="199"/>
      <c r="BR93" s="200"/>
      <c r="BS93" s="201" t="s">
        <v>114</v>
      </c>
      <c r="BT93" s="201" t="s">
        <v>114</v>
      </c>
      <c r="BU93" s="183" t="s">
        <v>114</v>
      </c>
      <c r="BV93" s="199"/>
      <c r="BW93" s="199"/>
      <c r="BX93" s="200"/>
      <c r="BY93" s="201" t="s">
        <v>114</v>
      </c>
      <c r="BZ93" s="201" t="s">
        <v>114</v>
      </c>
      <c r="CA93" s="183" t="s">
        <v>114</v>
      </c>
    </row>
    <row r="94" spans="2:79" x14ac:dyDescent="0.25">
      <c r="B94" s="164">
        <v>43282</v>
      </c>
      <c r="C94" s="193">
        <f t="shared" si="88"/>
        <v>31</v>
      </c>
      <c r="D94" s="172">
        <v>70.58</v>
      </c>
      <c r="E94" s="167">
        <v>1.31314</v>
      </c>
      <c r="F94" s="174">
        <v>-7.53</v>
      </c>
      <c r="G94" s="169">
        <v>-0.53654038579999996</v>
      </c>
      <c r="H94" s="170">
        <f t="shared" si="99"/>
        <v>62.985070415096345</v>
      </c>
      <c r="I94" s="168">
        <f t="shared" si="100"/>
        <v>520.47204722318997</v>
      </c>
      <c r="J94" s="168">
        <f t="shared" si="89"/>
        <v>521.00858760898996</v>
      </c>
      <c r="K94" s="171">
        <f t="shared" si="90"/>
        <v>0.89331255313119862</v>
      </c>
      <c r="L94" s="172">
        <f t="shared" si="101"/>
        <v>5.4600000000000009</v>
      </c>
      <c r="M94" s="172">
        <v>-2.0699999999999998</v>
      </c>
      <c r="N94" s="168">
        <f t="shared" si="91"/>
        <v>68.455985086057211</v>
      </c>
      <c r="O94" s="174">
        <f t="shared" si="92"/>
        <v>565.68050916841798</v>
      </c>
      <c r="P94" s="174">
        <f t="shared" si="93"/>
        <v>566.12685705141803</v>
      </c>
      <c r="Q94" s="249">
        <f t="shared" si="94"/>
        <v>0.97067157835080764</v>
      </c>
      <c r="R94" s="250"/>
      <c r="S94" s="251"/>
      <c r="T94" s="178">
        <f t="shared" si="95"/>
        <v>582.785787143844</v>
      </c>
      <c r="U94" s="178">
        <f t="shared" si="96"/>
        <v>583.23213502684405</v>
      </c>
      <c r="V94" s="251"/>
      <c r="W94" s="250"/>
      <c r="X94" s="179">
        <v>-0.446347883</v>
      </c>
      <c r="Y94" s="180">
        <v>0.33</v>
      </c>
      <c r="Z94" s="181"/>
      <c r="AA94" s="182">
        <v>-17.75</v>
      </c>
      <c r="AB94" s="182">
        <f t="shared" si="102"/>
        <v>436.34419497921505</v>
      </c>
      <c r="AC94" s="183">
        <f t="shared" si="103"/>
        <v>52.83</v>
      </c>
      <c r="AD94" s="184"/>
      <c r="AE94" s="184"/>
      <c r="AF94" s="183"/>
      <c r="AG94" s="185">
        <f t="shared" si="85"/>
        <v>10.219999999999999</v>
      </c>
      <c r="AH94" s="186">
        <f t="shared" si="97"/>
        <v>0.74851232643808441</v>
      </c>
      <c r="AI94" s="187"/>
      <c r="AJ94" s="242">
        <v>0.75</v>
      </c>
      <c r="AK94" s="166">
        <f t="shared" si="86"/>
        <v>52.935000000000002</v>
      </c>
      <c r="AL94" s="190">
        <f t="shared" si="87"/>
        <v>437.42410127013301</v>
      </c>
      <c r="AM94" s="191"/>
      <c r="AN94" s="178">
        <v>-7.5</v>
      </c>
      <c r="AO94" s="168">
        <f t="shared" si="116"/>
        <v>3.0000000000000249E-2</v>
      </c>
      <c r="AP94" s="174"/>
      <c r="AQ94" s="252"/>
      <c r="AR94" s="257">
        <v>0</v>
      </c>
      <c r="AS94" s="195">
        <v>0</v>
      </c>
      <c r="AT94" s="196">
        <f t="shared" si="104"/>
        <v>70.58</v>
      </c>
      <c r="AU94" s="197">
        <f t="shared" si="105"/>
        <v>583.23213502684393</v>
      </c>
      <c r="AV94" s="197">
        <f t="shared" si="106"/>
        <v>583.23213502684393</v>
      </c>
      <c r="AW94" s="198"/>
      <c r="AX94" s="257">
        <v>0</v>
      </c>
      <c r="AY94" s="195">
        <v>0</v>
      </c>
      <c r="AZ94" s="196">
        <f t="shared" si="107"/>
        <v>70.58</v>
      </c>
      <c r="BA94" s="197">
        <f t="shared" si="108"/>
        <v>583.23213502684393</v>
      </c>
      <c r="BB94" s="197">
        <f t="shared" si="109"/>
        <v>583.23213502684393</v>
      </c>
      <c r="BC94" s="198"/>
      <c r="BD94" s="257">
        <v>0</v>
      </c>
      <c r="BE94" s="195">
        <v>0</v>
      </c>
      <c r="BF94" s="196">
        <f t="shared" si="110"/>
        <v>70.58</v>
      </c>
      <c r="BG94" s="197">
        <f t="shared" si="111"/>
        <v>583.23213502684393</v>
      </c>
      <c r="BH94" s="197">
        <f t="shared" si="112"/>
        <v>583.23213502684393</v>
      </c>
      <c r="BI94" s="198"/>
      <c r="BJ94" s="257">
        <v>0</v>
      </c>
      <c r="BK94" s="195">
        <v>0</v>
      </c>
      <c r="BL94" s="196">
        <f t="shared" si="113"/>
        <v>70.58</v>
      </c>
      <c r="BM94" s="197">
        <f t="shared" si="114"/>
        <v>583.23213502684393</v>
      </c>
      <c r="BN94" s="197">
        <f t="shared" si="115"/>
        <v>583.23213502684393</v>
      </c>
      <c r="BO94" s="198"/>
      <c r="BP94" s="201">
        <f t="shared" si="98"/>
        <v>-17.5</v>
      </c>
      <c r="BQ94" s="199"/>
      <c r="BR94" s="200"/>
      <c r="BS94" s="201" t="s">
        <v>114</v>
      </c>
      <c r="BT94" s="201" t="s">
        <v>114</v>
      </c>
      <c r="BU94" s="183" t="s">
        <v>114</v>
      </c>
      <c r="BV94" s="199"/>
      <c r="BW94" s="199"/>
      <c r="BX94" s="200"/>
      <c r="BY94" s="201" t="s">
        <v>114</v>
      </c>
      <c r="BZ94" s="201" t="s">
        <v>114</v>
      </c>
      <c r="CA94" s="183" t="s">
        <v>114</v>
      </c>
    </row>
    <row r="95" spans="2:79" x14ac:dyDescent="0.25">
      <c r="B95" s="164">
        <v>43313</v>
      </c>
      <c r="C95" s="193">
        <f t="shared" si="88"/>
        <v>31</v>
      </c>
      <c r="D95" s="172">
        <v>67.849999999999994</v>
      </c>
      <c r="E95" s="167">
        <v>1.30447</v>
      </c>
      <c r="F95" s="174">
        <v>-5.14</v>
      </c>
      <c r="G95" s="169">
        <v>0.10286291309999999</v>
      </c>
      <c r="H95" s="170">
        <f t="shared" si="99"/>
        <v>62.722530718209924</v>
      </c>
      <c r="I95" s="168">
        <f t="shared" si="100"/>
        <v>514.88048159641892</v>
      </c>
      <c r="J95" s="168">
        <f t="shared" si="89"/>
        <v>514.77761868331891</v>
      </c>
      <c r="K95" s="171">
        <f t="shared" si="90"/>
        <v>0.92424465733235073</v>
      </c>
      <c r="L95" s="172">
        <f t="shared" si="101"/>
        <v>1.8499999999999996</v>
      </c>
      <c r="M95" s="172">
        <v>-3.29</v>
      </c>
      <c r="N95" s="168">
        <f t="shared" si="91"/>
        <v>64.197815210916673</v>
      </c>
      <c r="O95" s="174">
        <f t="shared" si="92"/>
        <v>526.99088564738383</v>
      </c>
      <c r="P95" s="174">
        <f t="shared" si="93"/>
        <v>529.96400992178383</v>
      </c>
      <c r="Q95" s="249">
        <f t="shared" si="94"/>
        <v>0.95151068533529837</v>
      </c>
      <c r="R95" s="250"/>
      <c r="S95" s="251"/>
      <c r="T95" s="178">
        <f t="shared" si="95"/>
        <v>553.99803547146496</v>
      </c>
      <c r="U95" s="178">
        <f t="shared" si="96"/>
        <v>556.97115974586495</v>
      </c>
      <c r="V95" s="251"/>
      <c r="W95" s="250"/>
      <c r="X95" s="179">
        <v>-2.9731242743999999</v>
      </c>
      <c r="Y95" s="180">
        <v>0.35</v>
      </c>
      <c r="Z95" s="181"/>
      <c r="AA95" s="182">
        <v>-19.3</v>
      </c>
      <c r="AB95" s="182">
        <f t="shared" si="102"/>
        <v>398.34639494749422</v>
      </c>
      <c r="AC95" s="183">
        <f t="shared" si="103"/>
        <v>48.55</v>
      </c>
      <c r="AD95" s="184"/>
      <c r="AE95" s="184"/>
      <c r="AF95" s="183"/>
      <c r="AG95" s="185">
        <f t="shared" si="85"/>
        <v>14.16</v>
      </c>
      <c r="AH95" s="186">
        <f t="shared" si="97"/>
        <v>0.71554900515843778</v>
      </c>
      <c r="AI95" s="187"/>
      <c r="AJ95" s="242">
        <v>0.75</v>
      </c>
      <c r="AK95" s="166">
        <f t="shared" si="86"/>
        <v>50.887499999999996</v>
      </c>
      <c r="AL95" s="190">
        <f t="shared" si="87"/>
        <v>417.72836980939871</v>
      </c>
      <c r="AM95" s="191"/>
      <c r="AN95" s="178">
        <v>-5.53</v>
      </c>
      <c r="AO95" s="168">
        <f t="shared" si="116"/>
        <v>-0.39000000000000057</v>
      </c>
      <c r="AP95" s="174"/>
      <c r="AQ95" s="252"/>
      <c r="AR95" s="257">
        <v>0</v>
      </c>
      <c r="AS95" s="195">
        <v>0</v>
      </c>
      <c r="AT95" s="196">
        <f t="shared" si="104"/>
        <v>67.849999999999994</v>
      </c>
      <c r="AU95" s="197">
        <f t="shared" si="105"/>
        <v>556.97115974586495</v>
      </c>
      <c r="AV95" s="197">
        <f t="shared" si="106"/>
        <v>556.97115974586495</v>
      </c>
      <c r="AW95" s="198"/>
      <c r="AX95" s="257">
        <v>0</v>
      </c>
      <c r="AY95" s="195">
        <v>0</v>
      </c>
      <c r="AZ95" s="196">
        <f t="shared" si="107"/>
        <v>67.849999999999994</v>
      </c>
      <c r="BA95" s="197">
        <f t="shared" si="108"/>
        <v>556.97115974586495</v>
      </c>
      <c r="BB95" s="197">
        <f t="shared" si="109"/>
        <v>556.97115974586495</v>
      </c>
      <c r="BC95" s="198"/>
      <c r="BD95" s="257">
        <v>0</v>
      </c>
      <c r="BE95" s="195">
        <v>0</v>
      </c>
      <c r="BF95" s="196">
        <f t="shared" si="110"/>
        <v>67.849999999999994</v>
      </c>
      <c r="BG95" s="197">
        <f t="shared" si="111"/>
        <v>556.97115974586495</v>
      </c>
      <c r="BH95" s="197">
        <f t="shared" si="112"/>
        <v>556.97115974586495</v>
      </c>
      <c r="BI95" s="198"/>
      <c r="BJ95" s="257">
        <v>0</v>
      </c>
      <c r="BK95" s="195">
        <v>0</v>
      </c>
      <c r="BL95" s="196">
        <f t="shared" si="113"/>
        <v>67.849999999999994</v>
      </c>
      <c r="BM95" s="197">
        <f t="shared" si="114"/>
        <v>556.97115974586495</v>
      </c>
      <c r="BN95" s="197">
        <f t="shared" si="115"/>
        <v>556.97115974586495</v>
      </c>
      <c r="BO95" s="198"/>
      <c r="BP95" s="201">
        <f t="shared" si="98"/>
        <v>-19.05</v>
      </c>
      <c r="BQ95" s="199"/>
      <c r="BR95" s="200"/>
      <c r="BS95" s="201" t="s">
        <v>114</v>
      </c>
      <c r="BT95" s="201" t="s">
        <v>114</v>
      </c>
      <c r="BU95" s="183" t="s">
        <v>114</v>
      </c>
      <c r="BV95" s="199"/>
      <c r="BW95" s="199"/>
      <c r="BX95" s="200"/>
      <c r="BY95" s="201" t="s">
        <v>114</v>
      </c>
      <c r="BZ95" s="201" t="s">
        <v>114</v>
      </c>
      <c r="CA95" s="183" t="s">
        <v>114</v>
      </c>
    </row>
    <row r="96" spans="2:79" x14ac:dyDescent="0.25">
      <c r="B96" s="164">
        <v>43344</v>
      </c>
      <c r="C96" s="193">
        <f t="shared" si="88"/>
        <v>30</v>
      </c>
      <c r="D96" s="172">
        <v>70.08</v>
      </c>
      <c r="E96" s="167">
        <v>1.3055099999999999</v>
      </c>
      <c r="F96" s="174">
        <v>-7.81</v>
      </c>
      <c r="G96" s="169">
        <v>0.20694288320000001</v>
      </c>
      <c r="H96" s="170">
        <f t="shared" si="99"/>
        <v>62.295189615169512</v>
      </c>
      <c r="I96" s="168">
        <f t="shared" si="100"/>
        <v>511.78019440529891</v>
      </c>
      <c r="J96" s="168">
        <f t="shared" si="89"/>
        <v>511.57325152209893</v>
      </c>
      <c r="K96" s="171">
        <f t="shared" si="90"/>
        <v>0.88855593607305927</v>
      </c>
      <c r="L96" s="172">
        <f t="shared" si="101"/>
        <v>5.14</v>
      </c>
      <c r="M96" s="172">
        <v>-2.67</v>
      </c>
      <c r="N96" s="168">
        <f t="shared" si="91"/>
        <v>67.350505020332733</v>
      </c>
      <c r="O96" s="174">
        <f t="shared" si="92"/>
        <v>553.31165641411701</v>
      </c>
      <c r="P96" s="174">
        <f t="shared" si="93"/>
        <v>553.80043175051696</v>
      </c>
      <c r="Q96" s="249">
        <f t="shared" si="94"/>
        <v>0.96190068493150682</v>
      </c>
      <c r="R96" s="250"/>
      <c r="S96" s="251"/>
      <c r="T96" s="178">
        <f t="shared" si="95"/>
        <v>575.24678699969593</v>
      </c>
      <c r="U96" s="178">
        <f t="shared" si="96"/>
        <v>575.73556233609588</v>
      </c>
      <c r="V96" s="251"/>
      <c r="W96" s="250"/>
      <c r="X96" s="179">
        <v>-0.48877533639999998</v>
      </c>
      <c r="Y96" s="180">
        <v>0.6</v>
      </c>
      <c r="Z96" s="181"/>
      <c r="AA96" s="182">
        <v>-29.71</v>
      </c>
      <c r="AB96" s="182">
        <f t="shared" si="102"/>
        <v>331.49464212136627</v>
      </c>
      <c r="AC96" s="183">
        <f t="shared" si="103"/>
        <v>40.369999999999997</v>
      </c>
      <c r="AD96" s="184"/>
      <c r="AE96" s="184"/>
      <c r="AF96" s="183"/>
      <c r="AG96" s="185">
        <f t="shared" si="85"/>
        <v>21.900000000000002</v>
      </c>
      <c r="AH96" s="186">
        <f t="shared" si="97"/>
        <v>0.57605593607305938</v>
      </c>
      <c r="AI96" s="187"/>
      <c r="AJ96" s="242">
        <v>0.75</v>
      </c>
      <c r="AK96" s="166">
        <f t="shared" si="86"/>
        <v>52.559999999999995</v>
      </c>
      <c r="AL96" s="190">
        <f t="shared" si="87"/>
        <v>431.80167175207197</v>
      </c>
      <c r="AM96" s="191"/>
      <c r="AN96" s="178">
        <v>-9.19</v>
      </c>
      <c r="AO96" s="168">
        <f t="shared" si="116"/>
        <v>-1.38</v>
      </c>
      <c r="AP96" s="174"/>
      <c r="AQ96" s="252"/>
      <c r="AR96" s="257">
        <v>0</v>
      </c>
      <c r="AS96" s="195">
        <v>0</v>
      </c>
      <c r="AT96" s="196">
        <f t="shared" si="104"/>
        <v>70.079999999999984</v>
      </c>
      <c r="AU96" s="197">
        <f t="shared" si="105"/>
        <v>575.73556233609588</v>
      </c>
      <c r="AV96" s="197">
        <f t="shared" si="106"/>
        <v>575.73556233609588</v>
      </c>
      <c r="AW96" s="198"/>
      <c r="AX96" s="257">
        <v>0</v>
      </c>
      <c r="AY96" s="195">
        <v>0</v>
      </c>
      <c r="AZ96" s="196">
        <f t="shared" si="107"/>
        <v>70.079999999999984</v>
      </c>
      <c r="BA96" s="197">
        <f t="shared" si="108"/>
        <v>575.73556233609588</v>
      </c>
      <c r="BB96" s="197">
        <f t="shared" si="109"/>
        <v>575.73556233609588</v>
      </c>
      <c r="BC96" s="198"/>
      <c r="BD96" s="257">
        <v>0</v>
      </c>
      <c r="BE96" s="195">
        <v>0</v>
      </c>
      <c r="BF96" s="196">
        <f t="shared" si="110"/>
        <v>70.079999999999984</v>
      </c>
      <c r="BG96" s="197">
        <f t="shared" si="111"/>
        <v>575.73556233609588</v>
      </c>
      <c r="BH96" s="197">
        <f t="shared" si="112"/>
        <v>575.73556233609588</v>
      </c>
      <c r="BI96" s="198"/>
      <c r="BJ96" s="257">
        <v>0</v>
      </c>
      <c r="BK96" s="195">
        <v>0</v>
      </c>
      <c r="BL96" s="196">
        <f t="shared" si="113"/>
        <v>70.079999999999984</v>
      </c>
      <c r="BM96" s="197">
        <f t="shared" si="114"/>
        <v>575.73556233609588</v>
      </c>
      <c r="BN96" s="197">
        <f t="shared" si="115"/>
        <v>575.73556233609588</v>
      </c>
      <c r="BO96" s="198"/>
      <c r="BP96" s="201">
        <f t="shared" si="98"/>
        <v>-29.46</v>
      </c>
      <c r="BQ96" s="199"/>
      <c r="BR96" s="200"/>
      <c r="BS96" s="201" t="s">
        <v>114</v>
      </c>
      <c r="BT96" s="201" t="s">
        <v>114</v>
      </c>
      <c r="BU96" s="183" t="s">
        <v>114</v>
      </c>
      <c r="BV96" s="199"/>
      <c r="BW96" s="199"/>
      <c r="BX96" s="200"/>
      <c r="BY96" s="201" t="s">
        <v>114</v>
      </c>
      <c r="BZ96" s="201" t="s">
        <v>114</v>
      </c>
      <c r="CA96" s="183" t="s">
        <v>114</v>
      </c>
    </row>
    <row r="97" spans="2:79" x14ac:dyDescent="0.25">
      <c r="B97" s="164">
        <v>43374</v>
      </c>
      <c r="C97" s="193">
        <f t="shared" si="88"/>
        <v>31</v>
      </c>
      <c r="D97" s="172">
        <v>70.760000000000005</v>
      </c>
      <c r="E97" s="167">
        <v>1.3005</v>
      </c>
      <c r="F97" s="174">
        <v>-17.399999999999999</v>
      </c>
      <c r="G97" s="169">
        <v>0.3406466433</v>
      </c>
      <c r="H97" s="170">
        <f t="shared" si="99"/>
        <v>53.401624113509222</v>
      </c>
      <c r="I97" s="168">
        <f t="shared" si="100"/>
        <v>437.03234657489998</v>
      </c>
      <c r="J97" s="168">
        <f t="shared" si="89"/>
        <v>436.6916999316</v>
      </c>
      <c r="K97" s="171">
        <f t="shared" si="90"/>
        <v>0.75409836065573776</v>
      </c>
      <c r="L97" s="172">
        <f t="shared" si="101"/>
        <v>6.1099999999999994</v>
      </c>
      <c r="M97" s="172">
        <v>-11.29</v>
      </c>
      <c r="N97" s="168">
        <f t="shared" si="91"/>
        <v>59.129186329981984</v>
      </c>
      <c r="O97" s="174">
        <f t="shared" si="92"/>
        <v>483.90601375584998</v>
      </c>
      <c r="P97" s="174">
        <f t="shared" si="93"/>
        <v>486.69519105945</v>
      </c>
      <c r="Q97" s="249">
        <f t="shared" si="94"/>
        <v>0.84044657998869421</v>
      </c>
      <c r="R97" s="250"/>
      <c r="S97" s="251"/>
      <c r="T97" s="178">
        <f t="shared" si="95"/>
        <v>576.30198999699996</v>
      </c>
      <c r="U97" s="178">
        <f t="shared" si="96"/>
        <v>579.09116730059998</v>
      </c>
      <c r="V97" s="251"/>
      <c r="W97" s="250"/>
      <c r="X97" s="179">
        <v>-2.7891773035999998</v>
      </c>
      <c r="Y97" s="180">
        <v>0.43</v>
      </c>
      <c r="Z97" s="181"/>
      <c r="AA97" s="182">
        <v>-29.61</v>
      </c>
      <c r="AB97" s="182">
        <f t="shared" si="102"/>
        <v>336.60282554853751</v>
      </c>
      <c r="AC97" s="183">
        <f t="shared" si="103"/>
        <v>41.150000000000006</v>
      </c>
      <c r="AD97" s="184"/>
      <c r="AE97" s="184"/>
      <c r="AF97" s="183"/>
      <c r="AG97" s="185">
        <f t="shared" si="85"/>
        <v>12.21</v>
      </c>
      <c r="AH97" s="186">
        <f t="shared" si="97"/>
        <v>0.58154324477105712</v>
      </c>
      <c r="AI97" s="187"/>
      <c r="AJ97" s="240">
        <v>0.37</v>
      </c>
      <c r="AK97" s="166">
        <f t="shared" si="86"/>
        <v>26.181199999999997</v>
      </c>
      <c r="AL97" s="190">
        <f t="shared" si="87"/>
        <v>214.26373190122197</v>
      </c>
      <c r="AM97" s="191"/>
      <c r="AN97" s="178">
        <v>-17.39</v>
      </c>
      <c r="AO97" s="168">
        <f t="shared" si="116"/>
        <v>9.9999999999980105E-3</v>
      </c>
      <c r="AP97" s="174"/>
      <c r="AQ97" s="252"/>
      <c r="AR97" s="257">
        <v>0</v>
      </c>
      <c r="AS97" s="195">
        <v>0</v>
      </c>
      <c r="AT97" s="196">
        <f t="shared" si="104"/>
        <v>70.760000000000019</v>
      </c>
      <c r="AU97" s="197">
        <f t="shared" si="105"/>
        <v>579.09116730060009</v>
      </c>
      <c r="AV97" s="197">
        <f t="shared" si="106"/>
        <v>579.09116730060009</v>
      </c>
      <c r="AW97" s="198"/>
      <c r="AX97" s="257">
        <v>0</v>
      </c>
      <c r="AY97" s="195">
        <v>0</v>
      </c>
      <c r="AZ97" s="196">
        <f t="shared" si="107"/>
        <v>70.760000000000019</v>
      </c>
      <c r="BA97" s="197">
        <f t="shared" si="108"/>
        <v>579.09116730060009</v>
      </c>
      <c r="BB97" s="197">
        <f t="shared" si="109"/>
        <v>579.09116730060009</v>
      </c>
      <c r="BC97" s="198"/>
      <c r="BD97" s="257">
        <v>0</v>
      </c>
      <c r="BE97" s="195">
        <v>0</v>
      </c>
      <c r="BF97" s="196">
        <f t="shared" si="110"/>
        <v>70.760000000000019</v>
      </c>
      <c r="BG97" s="197">
        <f t="shared" si="111"/>
        <v>579.09116730060009</v>
      </c>
      <c r="BH97" s="197">
        <f t="shared" si="112"/>
        <v>579.09116730060009</v>
      </c>
      <c r="BI97" s="198"/>
      <c r="BJ97" s="257">
        <v>0</v>
      </c>
      <c r="BK97" s="195">
        <v>0</v>
      </c>
      <c r="BL97" s="196">
        <f t="shared" si="113"/>
        <v>70.760000000000019</v>
      </c>
      <c r="BM97" s="197">
        <f t="shared" si="114"/>
        <v>579.09116730060009</v>
      </c>
      <c r="BN97" s="197">
        <f t="shared" si="115"/>
        <v>579.09116730060009</v>
      </c>
      <c r="BO97" s="198"/>
      <c r="BP97" s="201">
        <f t="shared" si="98"/>
        <v>-29.36</v>
      </c>
      <c r="BQ97" s="199"/>
      <c r="BR97" s="200"/>
      <c r="BS97" s="201" t="s">
        <v>114</v>
      </c>
      <c r="BT97" s="201" t="s">
        <v>114</v>
      </c>
      <c r="BU97" s="183" t="s">
        <v>114</v>
      </c>
      <c r="BV97" s="199"/>
      <c r="BW97" s="199"/>
      <c r="BX97" s="200"/>
      <c r="BY97" s="201" t="s">
        <v>114</v>
      </c>
      <c r="BZ97" s="201" t="s">
        <v>114</v>
      </c>
      <c r="CA97" s="183" t="s">
        <v>114</v>
      </c>
    </row>
    <row r="98" spans="2:79" x14ac:dyDescent="0.25">
      <c r="B98" s="164">
        <v>43405</v>
      </c>
      <c r="C98" s="193">
        <f t="shared" si="88"/>
        <v>30</v>
      </c>
      <c r="D98" s="172">
        <v>56.69</v>
      </c>
      <c r="E98" s="167">
        <v>1.3204800000000001</v>
      </c>
      <c r="F98" s="174">
        <v>-26.7</v>
      </c>
      <c r="G98" s="169">
        <v>0.92987449379999998</v>
      </c>
      <c r="H98" s="170">
        <f t="shared" si="99"/>
        <v>30.101903519925745</v>
      </c>
      <c r="I98" s="168">
        <f t="shared" si="100"/>
        <v>250.13504773202402</v>
      </c>
      <c r="J98" s="168">
        <f t="shared" si="89"/>
        <v>249.20517323822401</v>
      </c>
      <c r="K98" s="171">
        <f t="shared" si="90"/>
        <v>0.52901746339742461</v>
      </c>
      <c r="L98" s="172">
        <f t="shared" si="101"/>
        <v>16.25</v>
      </c>
      <c r="M98" s="172">
        <v>-10.45</v>
      </c>
      <c r="N98" s="168">
        <f t="shared" si="91"/>
        <v>46.340062967119316</v>
      </c>
      <c r="O98" s="174">
        <f t="shared" si="92"/>
        <v>385.06780325412393</v>
      </c>
      <c r="P98" s="174">
        <f t="shared" si="93"/>
        <v>384.23631912422394</v>
      </c>
      <c r="Q98" s="249">
        <f t="shared" si="94"/>
        <v>0.81566413829599571</v>
      </c>
      <c r="R98" s="250"/>
      <c r="S98" s="251"/>
      <c r="T98" s="178">
        <f t="shared" si="95"/>
        <v>471.90321707004404</v>
      </c>
      <c r="U98" s="178">
        <f t="shared" si="96"/>
        <v>471.07173294014405</v>
      </c>
      <c r="V98" s="251"/>
      <c r="W98" s="250"/>
      <c r="X98" s="179">
        <v>0.83148412989999998</v>
      </c>
      <c r="Y98" s="180">
        <v>0.83</v>
      </c>
      <c r="Z98" s="181"/>
      <c r="AA98" s="182">
        <v>-45.66</v>
      </c>
      <c r="AB98" s="182">
        <f t="shared" si="102"/>
        <v>91.610425728511203</v>
      </c>
      <c r="AC98" s="183">
        <f t="shared" si="103"/>
        <v>11.030000000000001</v>
      </c>
      <c r="AD98" s="184"/>
      <c r="AE98" s="184"/>
      <c r="AF98" s="183"/>
      <c r="AG98" s="185">
        <f t="shared" si="85"/>
        <v>18.959999999999997</v>
      </c>
      <c r="AH98" s="186">
        <f t="shared" si="97"/>
        <v>0.19456694302346095</v>
      </c>
      <c r="AI98" s="187"/>
      <c r="AJ98" s="240">
        <v>0.37846000000000002</v>
      </c>
      <c r="AK98" s="166">
        <f t="shared" si="86"/>
        <v>21.4548974</v>
      </c>
      <c r="AL98" s="190">
        <f t="shared" si="87"/>
        <v>178.2818080485269</v>
      </c>
      <c r="AM98" s="191"/>
      <c r="AN98" s="178">
        <v>-28.72</v>
      </c>
      <c r="AO98" s="168">
        <f t="shared" si="116"/>
        <v>-2.0199999999999996</v>
      </c>
      <c r="AP98" s="174"/>
      <c r="AQ98" s="252"/>
      <c r="AR98" s="257">
        <v>0</v>
      </c>
      <c r="AS98" s="195">
        <v>0</v>
      </c>
      <c r="AT98" s="196">
        <f t="shared" si="104"/>
        <v>56.690000000000005</v>
      </c>
      <c r="AU98" s="197">
        <f t="shared" si="105"/>
        <v>471.07173294014405</v>
      </c>
      <c r="AV98" s="197">
        <f t="shared" si="106"/>
        <v>471.07173294014405</v>
      </c>
      <c r="AW98" s="198"/>
      <c r="AX98" s="257">
        <v>0</v>
      </c>
      <c r="AY98" s="195">
        <v>0</v>
      </c>
      <c r="AZ98" s="196">
        <f t="shared" si="107"/>
        <v>56.690000000000005</v>
      </c>
      <c r="BA98" s="197">
        <f t="shared" si="108"/>
        <v>471.07173294014405</v>
      </c>
      <c r="BB98" s="197">
        <f t="shared" si="109"/>
        <v>471.07173294014405</v>
      </c>
      <c r="BC98" s="198"/>
      <c r="BD98" s="257">
        <v>0</v>
      </c>
      <c r="BE98" s="195">
        <v>0</v>
      </c>
      <c r="BF98" s="196">
        <f t="shared" si="110"/>
        <v>56.690000000000005</v>
      </c>
      <c r="BG98" s="197">
        <f t="shared" si="111"/>
        <v>471.07173294014405</v>
      </c>
      <c r="BH98" s="197">
        <f t="shared" si="112"/>
        <v>471.07173294014405</v>
      </c>
      <c r="BI98" s="198"/>
      <c r="BJ98" s="257">
        <v>0</v>
      </c>
      <c r="BK98" s="195">
        <v>0</v>
      </c>
      <c r="BL98" s="196">
        <f t="shared" si="113"/>
        <v>56.690000000000005</v>
      </c>
      <c r="BM98" s="197">
        <f t="shared" si="114"/>
        <v>471.07173294014405</v>
      </c>
      <c r="BN98" s="197">
        <f t="shared" si="115"/>
        <v>471.07173294014405</v>
      </c>
      <c r="BO98" s="198"/>
      <c r="BP98" s="201">
        <f t="shared" si="98"/>
        <v>-45.41</v>
      </c>
      <c r="BQ98" s="199"/>
      <c r="BR98" s="200"/>
      <c r="BS98" s="201" t="s">
        <v>114</v>
      </c>
      <c r="BT98" s="201" t="s">
        <v>114</v>
      </c>
      <c r="BU98" s="183" t="s">
        <v>114</v>
      </c>
      <c r="BV98" s="199"/>
      <c r="BW98" s="199"/>
      <c r="BX98" s="200"/>
      <c r="BY98" s="201" t="s">
        <v>114</v>
      </c>
      <c r="BZ98" s="201" t="s">
        <v>114</v>
      </c>
      <c r="CA98" s="183" t="s">
        <v>114</v>
      </c>
    </row>
    <row r="99" spans="2:79" x14ac:dyDescent="0.25">
      <c r="B99" s="164">
        <v>43435</v>
      </c>
      <c r="C99" s="193">
        <f t="shared" si="88"/>
        <v>31</v>
      </c>
      <c r="D99" s="172">
        <v>48.98</v>
      </c>
      <c r="E99" s="167">
        <v>1.34354</v>
      </c>
      <c r="F99" s="174">
        <v>-34.799999999999997</v>
      </c>
      <c r="G99" s="169">
        <v>4.1548083999999999E-2</v>
      </c>
      <c r="H99" s="259">
        <f t="shared" si="99"/>
        <v>14.184914186563324</v>
      </c>
      <c r="I99" s="168">
        <f t="shared" si="100"/>
        <v>119.92951398196398</v>
      </c>
      <c r="J99" s="168">
        <f t="shared" si="89"/>
        <v>119.88796589796398</v>
      </c>
      <c r="K99" s="171">
        <f t="shared" si="90"/>
        <v>0.28950592078399345</v>
      </c>
      <c r="L99" s="172">
        <f t="shared" si="101"/>
        <v>15.959999999999997</v>
      </c>
      <c r="M99" s="172">
        <v>-18.84</v>
      </c>
      <c r="N99" s="168">
        <f t="shared" si="91"/>
        <v>30.595312476970395</v>
      </c>
      <c r="O99" s="174">
        <f t="shared" si="92"/>
        <v>258.67487862317199</v>
      </c>
      <c r="P99" s="174">
        <f t="shared" si="93"/>
        <v>254.825337952372</v>
      </c>
      <c r="Q99" s="249">
        <f t="shared" si="94"/>
        <v>0.61535320538995508</v>
      </c>
      <c r="R99" s="250"/>
      <c r="S99" s="251"/>
      <c r="T99" s="178">
        <f t="shared" si="95"/>
        <v>417.96185164980398</v>
      </c>
      <c r="U99" s="178">
        <f t="shared" si="96"/>
        <v>414.11231097900395</v>
      </c>
      <c r="V99" s="251"/>
      <c r="W99" s="250"/>
      <c r="X99" s="179">
        <v>3.8495406708000002</v>
      </c>
      <c r="Y99" s="180">
        <v>0.54</v>
      </c>
      <c r="Z99" s="181"/>
      <c r="AA99" s="182">
        <v>-43.01</v>
      </c>
      <c r="AB99" s="182">
        <f t="shared" si="102"/>
        <v>50.450153635044884</v>
      </c>
      <c r="AC99" s="183">
        <f t="shared" si="103"/>
        <v>5.9699999999999989</v>
      </c>
      <c r="AD99" s="184"/>
      <c r="AE99" s="184"/>
      <c r="AF99" s="183"/>
      <c r="AG99" s="185">
        <f t="shared" si="85"/>
        <v>8.2100000000000009</v>
      </c>
      <c r="AH99" s="186">
        <f t="shared" si="97"/>
        <v>0.12188648427929766</v>
      </c>
      <c r="AI99" s="187"/>
      <c r="AJ99" s="240">
        <v>0.26029999999999998</v>
      </c>
      <c r="AK99" s="166">
        <f t="shared" si="86"/>
        <v>12.749494</v>
      </c>
      <c r="AL99" s="190">
        <f t="shared" si="87"/>
        <v>107.79343454783472</v>
      </c>
      <c r="AM99" s="191"/>
      <c r="AN99" s="178">
        <v>-34.94</v>
      </c>
      <c r="AO99" s="168">
        <f t="shared" si="116"/>
        <v>-0.14000000000000057</v>
      </c>
      <c r="AP99" s="174"/>
      <c r="AQ99" s="252"/>
      <c r="AR99" s="257">
        <v>0</v>
      </c>
      <c r="AS99" s="195">
        <v>0</v>
      </c>
      <c r="AT99" s="260">
        <f t="shared" si="104"/>
        <v>48.980000000000004</v>
      </c>
      <c r="AU99" s="197">
        <f t="shared" si="105"/>
        <v>414.11231097900395</v>
      </c>
      <c r="AV99" s="197">
        <f t="shared" si="106"/>
        <v>414.11231097900395</v>
      </c>
      <c r="AW99" s="198"/>
      <c r="AX99" s="257">
        <v>0</v>
      </c>
      <c r="AY99" s="195">
        <v>0</v>
      </c>
      <c r="AZ99" s="260">
        <f t="shared" si="107"/>
        <v>48.980000000000004</v>
      </c>
      <c r="BA99" s="197">
        <f t="shared" si="108"/>
        <v>414.11231097900395</v>
      </c>
      <c r="BB99" s="197">
        <f t="shared" si="109"/>
        <v>414.11231097900395</v>
      </c>
      <c r="BC99" s="198"/>
      <c r="BD99" s="257">
        <v>0</v>
      </c>
      <c r="BE99" s="195">
        <v>0</v>
      </c>
      <c r="BF99" s="260">
        <f t="shared" si="110"/>
        <v>48.980000000000004</v>
      </c>
      <c r="BG99" s="197">
        <f t="shared" si="111"/>
        <v>414.11231097900395</v>
      </c>
      <c r="BH99" s="197">
        <f t="shared" si="112"/>
        <v>414.11231097900395</v>
      </c>
      <c r="BI99" s="198"/>
      <c r="BJ99" s="257">
        <v>0</v>
      </c>
      <c r="BK99" s="195">
        <v>0</v>
      </c>
      <c r="BL99" s="260">
        <f t="shared" si="113"/>
        <v>48.980000000000004</v>
      </c>
      <c r="BM99" s="197">
        <f t="shared" si="114"/>
        <v>414.11231097900395</v>
      </c>
      <c r="BN99" s="197">
        <f t="shared" si="115"/>
        <v>414.11231097900395</v>
      </c>
      <c r="BO99" s="198"/>
      <c r="BP99" s="201">
        <f t="shared" si="98"/>
        <v>-42.76</v>
      </c>
      <c r="BQ99" s="199"/>
      <c r="BR99" s="200"/>
      <c r="BS99" s="201" t="s">
        <v>114</v>
      </c>
      <c r="BT99" s="201" t="s">
        <v>114</v>
      </c>
      <c r="BU99" s="183" t="s">
        <v>114</v>
      </c>
      <c r="BV99" s="199"/>
      <c r="BW99" s="199"/>
      <c r="BX99" s="200"/>
      <c r="BY99" s="201" t="s">
        <v>114</v>
      </c>
      <c r="BZ99" s="201" t="s">
        <v>114</v>
      </c>
      <c r="CA99" s="183" t="s">
        <v>114</v>
      </c>
    </row>
    <row r="100" spans="2:79" x14ac:dyDescent="0.25">
      <c r="B100" s="125">
        <v>43466</v>
      </c>
      <c r="C100" s="126">
        <f t="shared" si="88"/>
        <v>31</v>
      </c>
      <c r="D100" s="133">
        <v>51.55</v>
      </c>
      <c r="E100" s="261">
        <v>1.32996</v>
      </c>
      <c r="F100" s="129">
        <v>-7.89</v>
      </c>
      <c r="G100" s="129">
        <v>-0.7179627287</v>
      </c>
      <c r="H100" s="129">
        <f t="shared" si="99"/>
        <v>43.57421436701366</v>
      </c>
      <c r="I100" s="129">
        <f t="shared" si="100"/>
        <v>364.68416398913195</v>
      </c>
      <c r="J100" s="129">
        <f t="shared" si="89"/>
        <v>365.40212671783195</v>
      </c>
      <c r="K100" s="132">
        <f t="shared" si="90"/>
        <v>0.84694471387002912</v>
      </c>
      <c r="L100" s="133">
        <f t="shared" si="101"/>
        <v>4.0000000000000036E-2</v>
      </c>
      <c r="M100" s="133">
        <v>-7.85</v>
      </c>
      <c r="N100" s="131">
        <f t="shared" si="91"/>
        <v>43.145370087533777</v>
      </c>
      <c r="O100" s="129">
        <f t="shared" si="92"/>
        <v>361.09505240523993</v>
      </c>
      <c r="P100" s="131">
        <f t="shared" si="93"/>
        <v>365.73689733323994</v>
      </c>
      <c r="Q100" s="262">
        <f t="shared" si="94"/>
        <v>0.84772065955383125</v>
      </c>
      <c r="R100" s="263"/>
      <c r="S100" s="262"/>
      <c r="T100" s="129">
        <f t="shared" si="95"/>
        <v>426.79378567905997</v>
      </c>
      <c r="U100" s="131">
        <f t="shared" si="96"/>
        <v>431.43563060705998</v>
      </c>
      <c r="V100" s="262"/>
      <c r="W100" s="263"/>
      <c r="X100" s="141">
        <v>-4.6418449280000003</v>
      </c>
      <c r="Y100" s="264">
        <v>0.22</v>
      </c>
      <c r="Z100" s="265"/>
      <c r="AA100" s="266">
        <v>-17.25</v>
      </c>
      <c r="AB100" s="133">
        <f t="shared" si="102"/>
        <v>286.92623557949395</v>
      </c>
      <c r="AC100" s="267">
        <f t="shared" si="103"/>
        <v>34.299999999999997</v>
      </c>
      <c r="AD100" s="267"/>
      <c r="AE100" s="145">
        <v>275.93</v>
      </c>
      <c r="AF100" s="268">
        <v>7.7399999999999993</v>
      </c>
      <c r="AG100" s="127">
        <f t="shared" si="85"/>
        <v>9.36</v>
      </c>
      <c r="AH100" s="148">
        <f t="shared" si="97"/>
        <v>0.66537342386032972</v>
      </c>
      <c r="AI100" s="269"/>
      <c r="AJ100" s="270">
        <f>AK100/D100</f>
        <v>0.23461205523886938</v>
      </c>
      <c r="AK100" s="266">
        <v>12.094251447563716</v>
      </c>
      <c r="AL100" s="151">
        <f t="shared" si="87"/>
        <v>101.22000000000001</v>
      </c>
      <c r="AM100" s="151"/>
      <c r="AN100" s="131">
        <v>-11.21</v>
      </c>
      <c r="AO100" s="129">
        <f t="shared" si="116"/>
        <v>-3.3200000000000012</v>
      </c>
      <c r="AP100" s="131">
        <v>-11.21</v>
      </c>
      <c r="AQ100" s="129">
        <f t="shared" ref="AQ100:AQ163" si="117">AP100-F100</f>
        <v>-3.3200000000000012</v>
      </c>
      <c r="AR100" s="155">
        <v>0</v>
      </c>
      <c r="AS100" s="155">
        <v>0</v>
      </c>
      <c r="AT100" s="158">
        <f t="shared" si="104"/>
        <v>51.55</v>
      </c>
      <c r="AU100" s="158">
        <f t="shared" si="105"/>
        <v>431.43563060705998</v>
      </c>
      <c r="AV100" s="158">
        <f t="shared" si="106"/>
        <v>431.43563060705998</v>
      </c>
      <c r="AW100" s="159"/>
      <c r="AX100" s="155">
        <v>0</v>
      </c>
      <c r="AY100" s="155">
        <v>0</v>
      </c>
      <c r="AZ100" s="158">
        <f t="shared" si="107"/>
        <v>51.55</v>
      </c>
      <c r="BA100" s="158">
        <f t="shared" si="108"/>
        <v>431.43563060705998</v>
      </c>
      <c r="BB100" s="158">
        <f t="shared" si="109"/>
        <v>431.43563060705998</v>
      </c>
      <c r="BC100" s="159"/>
      <c r="BD100" s="155">
        <v>0</v>
      </c>
      <c r="BE100" s="155">
        <v>0</v>
      </c>
      <c r="BF100" s="158">
        <f t="shared" si="110"/>
        <v>51.55</v>
      </c>
      <c r="BG100" s="158">
        <f t="shared" si="111"/>
        <v>431.43563060705998</v>
      </c>
      <c r="BH100" s="158">
        <f t="shared" si="112"/>
        <v>431.43563060705998</v>
      </c>
      <c r="BI100" s="159"/>
      <c r="BJ100" s="155">
        <v>0</v>
      </c>
      <c r="BK100" s="155">
        <v>0</v>
      </c>
      <c r="BL100" s="158">
        <f t="shared" si="113"/>
        <v>51.55</v>
      </c>
      <c r="BM100" s="158">
        <f t="shared" si="114"/>
        <v>431.43563060705998</v>
      </c>
      <c r="BN100" s="158">
        <f t="shared" si="115"/>
        <v>431.43563060705998</v>
      </c>
      <c r="BO100" s="159"/>
      <c r="BP100" s="267">
        <f t="shared" si="98"/>
        <v>-17</v>
      </c>
      <c r="BQ100" s="161"/>
      <c r="BR100" s="161"/>
      <c r="BS100" s="267" t="s">
        <v>114</v>
      </c>
      <c r="BT100" s="145" t="s">
        <v>114</v>
      </c>
      <c r="BU100" s="145" t="s">
        <v>114</v>
      </c>
      <c r="BV100" s="271"/>
      <c r="BW100" s="161"/>
      <c r="BX100" s="161"/>
      <c r="BY100" s="267" t="s">
        <v>114</v>
      </c>
      <c r="BZ100" s="145" t="s">
        <v>114</v>
      </c>
      <c r="CA100" s="145" t="s">
        <v>114</v>
      </c>
    </row>
    <row r="101" spans="2:79" x14ac:dyDescent="0.25">
      <c r="B101" s="164">
        <v>43497</v>
      </c>
      <c r="C101" s="165">
        <f t="shared" si="88"/>
        <v>28</v>
      </c>
      <c r="D101" s="172">
        <v>54.98</v>
      </c>
      <c r="E101" s="272">
        <v>1.32067</v>
      </c>
      <c r="F101" s="168">
        <v>-3.08</v>
      </c>
      <c r="G101" s="168">
        <v>-0.47049370000000001</v>
      </c>
      <c r="H101" s="168">
        <f t="shared" si="99"/>
        <v>51.843387707767356</v>
      </c>
      <c r="I101" s="168">
        <f t="shared" si="100"/>
        <v>430.86026622850994</v>
      </c>
      <c r="J101" s="168">
        <f t="shared" si="89"/>
        <v>431.33075992850996</v>
      </c>
      <c r="K101" s="171">
        <f t="shared" si="90"/>
        <v>0.94397962895598397</v>
      </c>
      <c r="L101" s="172">
        <f t="shared" si="101"/>
        <v>0.71</v>
      </c>
      <c r="M101" s="172">
        <v>-2.37</v>
      </c>
      <c r="N101" s="259">
        <f t="shared" si="91"/>
        <v>52.239590738841628</v>
      </c>
      <c r="O101" s="168">
        <f t="shared" si="92"/>
        <v>434.15303221076897</v>
      </c>
      <c r="P101" s="259">
        <f t="shared" si="93"/>
        <v>437.23143121076896</v>
      </c>
      <c r="Q101" s="249"/>
      <c r="R101" s="273"/>
      <c r="S101" s="249"/>
      <c r="T101" s="168">
        <f t="shared" si="95"/>
        <v>453.84963916704197</v>
      </c>
      <c r="U101" s="259">
        <f t="shared" si="96"/>
        <v>456.92803816704196</v>
      </c>
      <c r="V101" s="249"/>
      <c r="W101" s="273"/>
      <c r="X101" s="180">
        <v>-3.0783990000000001</v>
      </c>
      <c r="Y101" s="274"/>
      <c r="Z101" s="275"/>
      <c r="AA101" s="276">
        <v>-9.65</v>
      </c>
      <c r="AB101" s="172">
        <f t="shared" si="102"/>
        <v>376.54561361747653</v>
      </c>
      <c r="AC101" s="277">
        <f t="shared" si="103"/>
        <v>45.33</v>
      </c>
      <c r="AD101" s="277"/>
      <c r="AE101" s="278">
        <v>368.12</v>
      </c>
      <c r="AF101" s="279">
        <v>7.5</v>
      </c>
      <c r="AG101" s="172">
        <f t="shared" si="85"/>
        <v>6.57</v>
      </c>
      <c r="AH101" s="186"/>
      <c r="AI101" s="280"/>
      <c r="AJ101" s="281">
        <f>AK101/D101</f>
        <v>0.26419999999999999</v>
      </c>
      <c r="AK101" s="276">
        <v>14.525715999999999</v>
      </c>
      <c r="AL101" s="190">
        <f t="shared" si="87"/>
        <v>120.72038768373248</v>
      </c>
      <c r="AM101" s="190"/>
      <c r="AN101" s="282"/>
      <c r="AO101" s="283"/>
      <c r="AP101" s="259">
        <v>-3.24</v>
      </c>
      <c r="AQ101" s="168">
        <f t="shared" si="117"/>
        <v>-0.16000000000000014</v>
      </c>
      <c r="AR101" s="194">
        <v>0</v>
      </c>
      <c r="AS101" s="194">
        <v>0</v>
      </c>
      <c r="AT101" s="197">
        <f t="shared" si="104"/>
        <v>54.980000000000004</v>
      </c>
      <c r="AU101" s="197">
        <f t="shared" si="105"/>
        <v>456.92803816704196</v>
      </c>
      <c r="AV101" s="197">
        <f t="shared" si="106"/>
        <v>456.92803816704196</v>
      </c>
      <c r="AW101" s="198"/>
      <c r="AX101" s="194">
        <v>0</v>
      </c>
      <c r="AY101" s="194">
        <v>0</v>
      </c>
      <c r="AZ101" s="197">
        <f t="shared" si="107"/>
        <v>54.980000000000004</v>
      </c>
      <c r="BA101" s="197">
        <f t="shared" si="108"/>
        <v>456.92803816704196</v>
      </c>
      <c r="BB101" s="197">
        <f t="shared" si="109"/>
        <v>456.92803816704196</v>
      </c>
      <c r="BC101" s="198"/>
      <c r="BD101" s="194">
        <v>0</v>
      </c>
      <c r="BE101" s="194">
        <v>0</v>
      </c>
      <c r="BF101" s="197">
        <f t="shared" si="110"/>
        <v>54.980000000000004</v>
      </c>
      <c r="BG101" s="197">
        <f t="shared" si="111"/>
        <v>456.92803816704196</v>
      </c>
      <c r="BH101" s="197">
        <f t="shared" si="112"/>
        <v>456.92803816704196</v>
      </c>
      <c r="BI101" s="198"/>
      <c r="BJ101" s="194">
        <v>0</v>
      </c>
      <c r="BK101" s="194">
        <v>0</v>
      </c>
      <c r="BL101" s="197">
        <f t="shared" si="113"/>
        <v>54.980000000000004</v>
      </c>
      <c r="BM101" s="197">
        <f t="shared" si="114"/>
        <v>456.92803816704196</v>
      </c>
      <c r="BN101" s="197">
        <f t="shared" si="115"/>
        <v>456.92803816704196</v>
      </c>
      <c r="BO101" s="198"/>
      <c r="BP101" s="285">
        <f t="shared" si="98"/>
        <v>-9.4</v>
      </c>
      <c r="BQ101" s="200"/>
      <c r="BR101" s="284"/>
      <c r="BS101" s="285" t="s">
        <v>114</v>
      </c>
      <c r="BT101" s="183" t="s">
        <v>114</v>
      </c>
      <c r="BU101" s="183" t="s">
        <v>114</v>
      </c>
      <c r="BV101" s="286"/>
      <c r="BW101" s="200"/>
      <c r="BX101" s="284"/>
      <c r="BY101" s="285" t="s">
        <v>114</v>
      </c>
      <c r="BZ101" s="183" t="s">
        <v>114</v>
      </c>
      <c r="CA101" s="183" t="s">
        <v>114</v>
      </c>
    </row>
    <row r="102" spans="2:79" x14ac:dyDescent="0.25">
      <c r="B102" s="164">
        <v>43525</v>
      </c>
      <c r="C102" s="165">
        <f t="shared" si="88"/>
        <v>31</v>
      </c>
      <c r="D102" s="172">
        <v>58.17</v>
      </c>
      <c r="E102" s="272">
        <v>1.3370599999999999</v>
      </c>
      <c r="F102" s="168">
        <v>-3.58</v>
      </c>
      <c r="G102" s="168">
        <v>-1.2815769925</v>
      </c>
      <c r="H102" s="168">
        <f t="shared" si="99"/>
        <v>54.437684168517784</v>
      </c>
      <c r="I102" s="168">
        <f t="shared" si="100"/>
        <v>458.03566757599805</v>
      </c>
      <c r="J102" s="168">
        <f t="shared" si="89"/>
        <v>459.31724456849804</v>
      </c>
      <c r="K102" s="171">
        <f t="shared" si="90"/>
        <v>0.93845624892556301</v>
      </c>
      <c r="L102" s="172">
        <f t="shared" si="101"/>
        <v>0.79</v>
      </c>
      <c r="M102" s="172">
        <v>-2.79</v>
      </c>
      <c r="N102" s="259">
        <f t="shared" si="91"/>
        <v>54.930382446281847</v>
      </c>
      <c r="O102" s="168">
        <f t="shared" si="92"/>
        <v>462.18120366953593</v>
      </c>
      <c r="P102" s="259">
        <f t="shared" si="93"/>
        <v>465.96426093063593</v>
      </c>
      <c r="Q102" s="249"/>
      <c r="R102" s="273"/>
      <c r="S102" s="249"/>
      <c r="T102" s="168">
        <f t="shared" si="95"/>
        <v>485.65610955607394</v>
      </c>
      <c r="U102" s="259">
        <f t="shared" si="96"/>
        <v>489.43916681717394</v>
      </c>
      <c r="V102" s="249"/>
      <c r="W102" s="273"/>
      <c r="X102" s="180">
        <v>-3.7830572611000002</v>
      </c>
      <c r="Y102" s="274"/>
      <c r="Z102" s="275"/>
      <c r="AA102" s="276">
        <v>-9.9600000000000009</v>
      </c>
      <c r="AB102" s="172">
        <f t="shared" si="102"/>
        <v>405.43906264793731</v>
      </c>
      <c r="AC102" s="277">
        <f t="shared" si="103"/>
        <v>48.21</v>
      </c>
      <c r="AD102" s="277"/>
      <c r="AE102" s="278">
        <v>394.99</v>
      </c>
      <c r="AF102" s="279">
        <v>7.5</v>
      </c>
      <c r="AG102" s="172">
        <f t="shared" si="85"/>
        <v>6.3800000000000008</v>
      </c>
      <c r="AH102" s="186"/>
      <c r="AI102" s="280"/>
      <c r="AJ102" s="171">
        <f t="shared" ref="AJ102:AJ165" si="118">AK102/D102</f>
        <v>0.24256334198187882</v>
      </c>
      <c r="AK102" s="276">
        <v>14.109909603085891</v>
      </c>
      <c r="AL102" s="190">
        <f t="shared" si="87"/>
        <v>118.72</v>
      </c>
      <c r="AM102" s="190"/>
      <c r="AN102" s="282"/>
      <c r="AO102" s="283"/>
      <c r="AP102" s="259">
        <v>-3.81</v>
      </c>
      <c r="AQ102" s="168">
        <f t="shared" si="117"/>
        <v>-0.22999999999999998</v>
      </c>
      <c r="AR102" s="194">
        <v>0</v>
      </c>
      <c r="AS102" s="194">
        <v>0</v>
      </c>
      <c r="AT102" s="197">
        <f t="shared" si="104"/>
        <v>58.17</v>
      </c>
      <c r="AU102" s="197">
        <f t="shared" si="105"/>
        <v>489.439166817174</v>
      </c>
      <c r="AV102" s="197">
        <f t="shared" si="106"/>
        <v>489.439166817174</v>
      </c>
      <c r="AW102" s="198"/>
      <c r="AX102" s="194">
        <v>0</v>
      </c>
      <c r="AY102" s="194">
        <v>0</v>
      </c>
      <c r="AZ102" s="197">
        <f t="shared" si="107"/>
        <v>58.17</v>
      </c>
      <c r="BA102" s="197">
        <f t="shared" si="108"/>
        <v>489.439166817174</v>
      </c>
      <c r="BB102" s="197">
        <f t="shared" si="109"/>
        <v>489.439166817174</v>
      </c>
      <c r="BC102" s="198"/>
      <c r="BD102" s="194">
        <v>0</v>
      </c>
      <c r="BE102" s="194">
        <v>0</v>
      </c>
      <c r="BF102" s="197">
        <f t="shared" si="110"/>
        <v>58.17</v>
      </c>
      <c r="BG102" s="197">
        <f t="shared" si="111"/>
        <v>489.439166817174</v>
      </c>
      <c r="BH102" s="197">
        <f t="shared" si="112"/>
        <v>489.439166817174</v>
      </c>
      <c r="BI102" s="198"/>
      <c r="BJ102" s="194">
        <v>0</v>
      </c>
      <c r="BK102" s="194">
        <v>0</v>
      </c>
      <c r="BL102" s="197">
        <f t="shared" si="113"/>
        <v>58.17</v>
      </c>
      <c r="BM102" s="197">
        <f t="shared" si="114"/>
        <v>489.439166817174</v>
      </c>
      <c r="BN102" s="197">
        <f t="shared" si="115"/>
        <v>489.439166817174</v>
      </c>
      <c r="BO102" s="198"/>
      <c r="BP102" s="285">
        <f t="shared" si="98"/>
        <v>-9.7100000000000009</v>
      </c>
      <c r="BQ102" s="200"/>
      <c r="BR102" s="284"/>
      <c r="BS102" s="285" t="s">
        <v>114</v>
      </c>
      <c r="BT102" s="183" t="s">
        <v>114</v>
      </c>
      <c r="BU102" s="183" t="s">
        <v>114</v>
      </c>
      <c r="BV102" s="286"/>
      <c r="BW102" s="200"/>
      <c r="BX102" s="284"/>
      <c r="BY102" s="285" t="s">
        <v>114</v>
      </c>
      <c r="BZ102" s="183" t="s">
        <v>114</v>
      </c>
      <c r="CA102" s="183" t="s">
        <v>114</v>
      </c>
    </row>
    <row r="103" spans="2:79" x14ac:dyDescent="0.25">
      <c r="B103" s="164">
        <v>43556</v>
      </c>
      <c r="C103" s="165">
        <f t="shared" si="88"/>
        <v>30</v>
      </c>
      <c r="D103" s="172">
        <v>63.87</v>
      </c>
      <c r="E103" s="272">
        <v>1.3378300000000001</v>
      </c>
      <c r="F103" s="168">
        <v>-4.6900000000000004</v>
      </c>
      <c r="G103" s="168">
        <v>-1.5091274428999999</v>
      </c>
      <c r="H103" s="168">
        <f t="shared" si="99"/>
        <v>59.000742957821231</v>
      </c>
      <c r="I103" s="168">
        <f t="shared" si="100"/>
        <v>496.714880859978</v>
      </c>
      <c r="J103" s="168">
        <f t="shared" si="89"/>
        <v>498.22400830287802</v>
      </c>
      <c r="K103" s="171">
        <f t="shared" si="90"/>
        <v>0.92656959448880538</v>
      </c>
      <c r="L103" s="172">
        <f>M103-F103</f>
        <v>1.4700000000000002</v>
      </c>
      <c r="M103" s="172">
        <v>-3.22</v>
      </c>
      <c r="N103" s="259">
        <f t="shared" si="91"/>
        <v>60.248417736773398</v>
      </c>
      <c r="O103" s="168">
        <f t="shared" si="92"/>
        <v>507.218793151765</v>
      </c>
      <c r="P103" s="259">
        <f t="shared" si="93"/>
        <v>510.59963000286501</v>
      </c>
      <c r="Q103" s="249"/>
      <c r="R103" s="273"/>
      <c r="S103" s="249"/>
      <c r="T103" s="168">
        <f t="shared" si="95"/>
        <v>534.32729782792705</v>
      </c>
      <c r="U103" s="259">
        <f t="shared" si="96"/>
        <v>537.70813467902701</v>
      </c>
      <c r="V103" s="249"/>
      <c r="W103" s="273"/>
      <c r="X103" s="180">
        <v>-3.3808368511000002</v>
      </c>
      <c r="Y103" s="274"/>
      <c r="Z103" s="275"/>
      <c r="AA103" s="276">
        <v>-10.63</v>
      </c>
      <c r="AB103" s="172">
        <f t="shared" si="102"/>
        <v>447.99847792788654</v>
      </c>
      <c r="AC103" s="277">
        <f t="shared" si="103"/>
        <v>53.239999999999995</v>
      </c>
      <c r="AD103" s="277"/>
      <c r="AE103" s="278">
        <v>438.89</v>
      </c>
      <c r="AF103" s="279">
        <v>8</v>
      </c>
      <c r="AG103" s="172">
        <f t="shared" si="85"/>
        <v>5.94</v>
      </c>
      <c r="AH103" s="186"/>
      <c r="AI103" s="280"/>
      <c r="AJ103" s="171">
        <f t="shared" si="118"/>
        <v>0.29428604440670758</v>
      </c>
      <c r="AK103" s="276">
        <v>18.796049656256411</v>
      </c>
      <c r="AL103" s="190">
        <f t="shared" si="87"/>
        <v>158.24</v>
      </c>
      <c r="AM103" s="190"/>
      <c r="AN103" s="282"/>
      <c r="AO103" s="283"/>
      <c r="AP103" s="259">
        <v>-4.4400000000000004</v>
      </c>
      <c r="AQ103" s="168">
        <f t="shared" si="117"/>
        <v>0.25</v>
      </c>
      <c r="AR103" s="194">
        <v>0</v>
      </c>
      <c r="AS103" s="194">
        <v>0</v>
      </c>
      <c r="AT103" s="197">
        <f t="shared" si="104"/>
        <v>63.87</v>
      </c>
      <c r="AU103" s="197">
        <f t="shared" si="105"/>
        <v>537.70813467902701</v>
      </c>
      <c r="AV103" s="197">
        <f t="shared" si="106"/>
        <v>537.70813467902701</v>
      </c>
      <c r="AW103" s="198"/>
      <c r="AX103" s="194">
        <v>0</v>
      </c>
      <c r="AY103" s="194">
        <v>0</v>
      </c>
      <c r="AZ103" s="197">
        <f t="shared" si="107"/>
        <v>63.87</v>
      </c>
      <c r="BA103" s="197">
        <f t="shared" si="108"/>
        <v>537.70813467902701</v>
      </c>
      <c r="BB103" s="197">
        <f t="shared" si="109"/>
        <v>537.70813467902701</v>
      </c>
      <c r="BC103" s="198"/>
      <c r="BD103" s="194">
        <v>0</v>
      </c>
      <c r="BE103" s="194">
        <v>0</v>
      </c>
      <c r="BF103" s="197">
        <f t="shared" si="110"/>
        <v>63.87</v>
      </c>
      <c r="BG103" s="197">
        <f t="shared" si="111"/>
        <v>537.70813467902701</v>
      </c>
      <c r="BH103" s="197">
        <f t="shared" si="112"/>
        <v>537.70813467902701</v>
      </c>
      <c r="BI103" s="198"/>
      <c r="BJ103" s="194">
        <v>0</v>
      </c>
      <c r="BK103" s="194">
        <v>0</v>
      </c>
      <c r="BL103" s="197">
        <f t="shared" si="113"/>
        <v>63.87</v>
      </c>
      <c r="BM103" s="197">
        <f t="shared" si="114"/>
        <v>537.70813467902701</v>
      </c>
      <c r="BN103" s="197">
        <f t="shared" si="115"/>
        <v>537.70813467902701</v>
      </c>
      <c r="BO103" s="198"/>
      <c r="BP103" s="285">
        <f t="shared" si="98"/>
        <v>-10.38</v>
      </c>
      <c r="BQ103" s="200"/>
      <c r="BR103" s="284"/>
      <c r="BS103" s="285" t="s">
        <v>114</v>
      </c>
      <c r="BT103" s="183" t="s">
        <v>114</v>
      </c>
      <c r="BU103" s="183" t="s">
        <v>114</v>
      </c>
      <c r="BV103" s="286"/>
      <c r="BW103" s="200"/>
      <c r="BX103" s="284"/>
      <c r="BY103" s="285" t="s">
        <v>114</v>
      </c>
      <c r="BZ103" s="183" t="s">
        <v>114</v>
      </c>
      <c r="CA103" s="183" t="s">
        <v>114</v>
      </c>
    </row>
    <row r="104" spans="2:79" x14ac:dyDescent="0.25">
      <c r="B104" s="287">
        <v>43586</v>
      </c>
      <c r="C104" s="165">
        <f t="shared" si="88"/>
        <v>31</v>
      </c>
      <c r="D104" s="288">
        <v>60.87</v>
      </c>
      <c r="E104" s="289">
        <v>1.34613</v>
      </c>
      <c r="F104" s="288">
        <v>-3.7</v>
      </c>
      <c r="G104" s="172">
        <v>-1.7347914338999999</v>
      </c>
      <c r="H104" s="288">
        <f t="shared" si="99"/>
        <v>56.965208698593251</v>
      </c>
      <c r="I104" s="288">
        <f t="shared" si="100"/>
        <v>482.553484458627</v>
      </c>
      <c r="J104" s="288">
        <f t="shared" si="89"/>
        <v>484.288275892527</v>
      </c>
      <c r="K104" s="171">
        <f t="shared" si="90"/>
        <v>0.93921471989485783</v>
      </c>
      <c r="L104" s="172">
        <f t="shared" ref="L104:L167" si="119">M104-F104</f>
        <v>-0.49000000000000021</v>
      </c>
      <c r="M104" s="288">
        <v>-4.1900000000000004</v>
      </c>
      <c r="N104" s="290">
        <f t="shared" si="91"/>
        <v>56.531384299818889</v>
      </c>
      <c r="O104" s="288">
        <f t="shared" si="92"/>
        <v>478.87854882590796</v>
      </c>
      <c r="P104" s="290">
        <f t="shared" si="93"/>
        <v>480.13747555690793</v>
      </c>
      <c r="Q104" s="291"/>
      <c r="R104" s="292"/>
      <c r="S104" s="291"/>
      <c r="T104" s="288">
        <f t="shared" si="95"/>
        <v>514.372127205997</v>
      </c>
      <c r="U104" s="293">
        <f t="shared" si="96"/>
        <v>515.63105393699698</v>
      </c>
      <c r="V104" s="291"/>
      <c r="W104" s="292"/>
      <c r="X104" s="294">
        <v>-1.2589267310000001</v>
      </c>
      <c r="Y104" s="295"/>
      <c r="Z104" s="296"/>
      <c r="AA104" s="290">
        <v>-8.43</v>
      </c>
      <c r="AB104" s="288">
        <f t="shared" si="102"/>
        <v>444.00437278266054</v>
      </c>
      <c r="AC104" s="277">
        <f t="shared" si="103"/>
        <v>52.44</v>
      </c>
      <c r="AD104" s="277"/>
      <c r="AE104" s="278">
        <v>437.37</v>
      </c>
      <c r="AF104" s="279">
        <v>10.53</v>
      </c>
      <c r="AG104" s="288">
        <f t="shared" si="85"/>
        <v>4.7299999999999995</v>
      </c>
      <c r="AH104" s="291"/>
      <c r="AI104" s="297"/>
      <c r="AJ104" s="171">
        <f t="shared" si="118"/>
        <v>0.35637884607014558</v>
      </c>
      <c r="AK104" s="290">
        <v>21.69278036028976</v>
      </c>
      <c r="AL104" s="190">
        <f t="shared" si="87"/>
        <v>183.75999999999996</v>
      </c>
      <c r="AM104" s="190"/>
      <c r="AN104" s="292"/>
      <c r="AO104" s="298"/>
      <c r="AP104" s="290">
        <v>-3.84</v>
      </c>
      <c r="AQ104" s="288">
        <f t="shared" si="117"/>
        <v>-0.13999999999999968</v>
      </c>
      <c r="AR104" s="284">
        <v>0</v>
      </c>
      <c r="AS104" s="200">
        <v>0</v>
      </c>
      <c r="AT104" s="278">
        <f t="shared" si="104"/>
        <v>60.870000000000005</v>
      </c>
      <c r="AU104" s="278">
        <f t="shared" si="105"/>
        <v>515.63105393699698</v>
      </c>
      <c r="AV104" s="278">
        <f t="shared" si="106"/>
        <v>515.63105393699698</v>
      </c>
      <c r="AW104" s="198"/>
      <c r="AX104" s="284">
        <v>0</v>
      </c>
      <c r="AY104" s="200">
        <v>0</v>
      </c>
      <c r="AZ104" s="278">
        <f t="shared" si="107"/>
        <v>60.870000000000005</v>
      </c>
      <c r="BA104" s="278">
        <f t="shared" si="108"/>
        <v>515.63105393699698</v>
      </c>
      <c r="BB104" s="278">
        <f t="shared" si="109"/>
        <v>515.63105393699698</v>
      </c>
      <c r="BC104" s="198"/>
      <c r="BD104" s="284">
        <v>0</v>
      </c>
      <c r="BE104" s="200">
        <v>0</v>
      </c>
      <c r="BF104" s="278">
        <f t="shared" si="110"/>
        <v>60.870000000000005</v>
      </c>
      <c r="BG104" s="278">
        <f t="shared" si="111"/>
        <v>515.63105393699698</v>
      </c>
      <c r="BH104" s="278">
        <f t="shared" si="112"/>
        <v>515.63105393699698</v>
      </c>
      <c r="BI104" s="198"/>
      <c r="BJ104" s="284">
        <v>0</v>
      </c>
      <c r="BK104" s="200">
        <v>0</v>
      </c>
      <c r="BL104" s="278">
        <f t="shared" si="113"/>
        <v>60.870000000000005</v>
      </c>
      <c r="BM104" s="278">
        <f t="shared" si="114"/>
        <v>515.63105393699698</v>
      </c>
      <c r="BN104" s="278">
        <f t="shared" si="115"/>
        <v>515.63105393699698</v>
      </c>
      <c r="BO104" s="198"/>
      <c r="BP104" s="342">
        <f t="shared" si="98"/>
        <v>-8.18</v>
      </c>
      <c r="BQ104" s="284"/>
      <c r="BR104" s="284"/>
      <c r="BS104" s="285" t="s">
        <v>114</v>
      </c>
      <c r="BT104" s="183" t="s">
        <v>114</v>
      </c>
      <c r="BU104" s="183" t="s">
        <v>114</v>
      </c>
      <c r="BV104" s="299"/>
      <c r="BW104" s="284"/>
      <c r="BX104" s="284"/>
      <c r="BY104" s="285" t="s">
        <v>114</v>
      </c>
      <c r="BZ104" s="183" t="s">
        <v>114</v>
      </c>
      <c r="CA104" s="183" t="s">
        <v>114</v>
      </c>
    </row>
    <row r="105" spans="2:79" x14ac:dyDescent="0.25">
      <c r="B105" s="287">
        <v>43617</v>
      </c>
      <c r="C105" s="165">
        <f t="shared" si="88"/>
        <v>30</v>
      </c>
      <c r="D105" s="288">
        <v>54.71</v>
      </c>
      <c r="E105" s="289">
        <v>1.3289500000000001</v>
      </c>
      <c r="F105" s="288">
        <v>-5.49</v>
      </c>
      <c r="G105" s="172">
        <v>-1.5766119405000001</v>
      </c>
      <c r="H105" s="288">
        <f t="shared" si="99"/>
        <v>49.03147566834334</v>
      </c>
      <c r="I105" s="288">
        <f t="shared" si="100"/>
        <v>410.04579790703002</v>
      </c>
      <c r="J105" s="288">
        <f t="shared" si="89"/>
        <v>411.62240984753004</v>
      </c>
      <c r="K105" s="171">
        <f t="shared" si="90"/>
        <v>0.89965271431182592</v>
      </c>
      <c r="L105" s="172">
        <f t="shared" si="119"/>
        <v>1.0200000000000005</v>
      </c>
      <c r="M105" s="288">
        <v>-4.47</v>
      </c>
      <c r="N105" s="290">
        <f t="shared" si="91"/>
        <v>50.170730152764634</v>
      </c>
      <c r="O105" s="288">
        <f t="shared" si="92"/>
        <v>419.57328015626001</v>
      </c>
      <c r="P105" s="290">
        <f t="shared" si="93"/>
        <v>420.15257762575999</v>
      </c>
      <c r="Q105" s="291"/>
      <c r="R105" s="292"/>
      <c r="S105" s="291"/>
      <c r="T105" s="288">
        <f t="shared" si="95"/>
        <v>456.95548600791506</v>
      </c>
      <c r="U105" s="293">
        <f t="shared" si="96"/>
        <v>457.53478347741503</v>
      </c>
      <c r="V105" s="291"/>
      <c r="W105" s="292"/>
      <c r="X105" s="294">
        <v>-0.57929746950000005</v>
      </c>
      <c r="Y105" s="295"/>
      <c r="Z105" s="296"/>
      <c r="AA105" s="290">
        <v>-12.98</v>
      </c>
      <c r="AB105" s="288">
        <f t="shared" si="102"/>
        <v>348.81454609767678</v>
      </c>
      <c r="AC105" s="277">
        <f t="shared" si="103"/>
        <v>41.730000000000004</v>
      </c>
      <c r="AD105" s="277"/>
      <c r="AE105" s="278">
        <v>339.91</v>
      </c>
      <c r="AF105" s="279">
        <v>14</v>
      </c>
      <c r="AG105" s="288">
        <f t="shared" si="85"/>
        <v>7.49</v>
      </c>
      <c r="AH105" s="291"/>
      <c r="AI105" s="297"/>
      <c r="AJ105" s="171">
        <f t="shared" si="118"/>
        <v>0.42095160183489561</v>
      </c>
      <c r="AK105" s="290">
        <v>23.03026213638714</v>
      </c>
      <c r="AL105" s="190">
        <f t="shared" si="87"/>
        <v>192.6</v>
      </c>
      <c r="AM105" s="190"/>
      <c r="AN105" s="292"/>
      <c r="AO105" s="298"/>
      <c r="AP105" s="290">
        <v>-5.97</v>
      </c>
      <c r="AQ105" s="288">
        <f t="shared" si="117"/>
        <v>-0.47999999999999954</v>
      </c>
      <c r="AR105" s="284">
        <v>0</v>
      </c>
      <c r="AS105" s="200">
        <v>0</v>
      </c>
      <c r="AT105" s="278">
        <f t="shared" si="104"/>
        <v>54.71</v>
      </c>
      <c r="AU105" s="278">
        <f t="shared" si="105"/>
        <v>457.53478347741503</v>
      </c>
      <c r="AV105" s="278">
        <f t="shared" si="106"/>
        <v>457.53478347741503</v>
      </c>
      <c r="AW105" s="198"/>
      <c r="AX105" s="284">
        <v>0</v>
      </c>
      <c r="AY105" s="200">
        <v>0</v>
      </c>
      <c r="AZ105" s="278">
        <f t="shared" si="107"/>
        <v>54.71</v>
      </c>
      <c r="BA105" s="278">
        <f t="shared" si="108"/>
        <v>457.53478347741503</v>
      </c>
      <c r="BB105" s="278">
        <f t="shared" si="109"/>
        <v>457.53478347741503</v>
      </c>
      <c r="BC105" s="198"/>
      <c r="BD105" s="284">
        <v>0</v>
      </c>
      <c r="BE105" s="200">
        <v>0</v>
      </c>
      <c r="BF105" s="278">
        <f t="shared" si="110"/>
        <v>54.71</v>
      </c>
      <c r="BG105" s="278">
        <f t="shared" si="111"/>
        <v>457.53478347741503</v>
      </c>
      <c r="BH105" s="278">
        <f t="shared" si="112"/>
        <v>457.53478347741503</v>
      </c>
      <c r="BI105" s="198"/>
      <c r="BJ105" s="284">
        <v>0</v>
      </c>
      <c r="BK105" s="200">
        <v>0</v>
      </c>
      <c r="BL105" s="278">
        <f t="shared" si="113"/>
        <v>54.71</v>
      </c>
      <c r="BM105" s="278">
        <f t="shared" si="114"/>
        <v>457.53478347741503</v>
      </c>
      <c r="BN105" s="278">
        <f t="shared" si="115"/>
        <v>457.53478347741503</v>
      </c>
      <c r="BO105" s="198"/>
      <c r="BP105" s="342">
        <f t="shared" si="98"/>
        <v>-12.73</v>
      </c>
      <c r="BQ105" s="284"/>
      <c r="BR105" s="284"/>
      <c r="BS105" s="285" t="s">
        <v>114</v>
      </c>
      <c r="BT105" s="183" t="s">
        <v>114</v>
      </c>
      <c r="BU105" s="183" t="s">
        <v>114</v>
      </c>
      <c r="BV105" s="299"/>
      <c r="BW105" s="284"/>
      <c r="BX105" s="284"/>
      <c r="BY105" s="285" t="s">
        <v>114</v>
      </c>
      <c r="BZ105" s="183" t="s">
        <v>114</v>
      </c>
      <c r="CA105" s="183" t="s">
        <v>114</v>
      </c>
    </row>
    <row r="106" spans="2:79" x14ac:dyDescent="0.25">
      <c r="B106" s="287">
        <v>43647</v>
      </c>
      <c r="C106" s="165">
        <f t="shared" si="88"/>
        <v>31</v>
      </c>
      <c r="D106" s="288">
        <v>57.55</v>
      </c>
      <c r="E106" s="289">
        <v>1.31029</v>
      </c>
      <c r="F106" s="288">
        <v>-7.04</v>
      </c>
      <c r="G106" s="172">
        <v>-1.5759569948000001</v>
      </c>
      <c r="H106" s="288">
        <f t="shared" si="99"/>
        <v>50.318870301131057</v>
      </c>
      <c r="I106" s="288">
        <f t="shared" si="100"/>
        <v>414.90347178267302</v>
      </c>
      <c r="J106" s="288">
        <f t="shared" si="89"/>
        <v>416.479428777473</v>
      </c>
      <c r="K106" s="171">
        <f t="shared" si="90"/>
        <v>0.87767158992180716</v>
      </c>
      <c r="L106" s="172">
        <f t="shared" si="119"/>
        <v>1.1600000000000001</v>
      </c>
      <c r="M106" s="288">
        <v>-5.88</v>
      </c>
      <c r="N106" s="290">
        <f t="shared" si="91"/>
        <v>51.172116092592248</v>
      </c>
      <c r="O106" s="288">
        <f t="shared" si="92"/>
        <v>421.93889684374091</v>
      </c>
      <c r="P106" s="290">
        <f t="shared" si="93"/>
        <v>426.0441909509409</v>
      </c>
      <c r="Q106" s="291"/>
      <c r="R106" s="292"/>
      <c r="S106" s="291"/>
      <c r="T106" s="288">
        <f t="shared" si="95"/>
        <v>470.42234648166493</v>
      </c>
      <c r="U106" s="293">
        <f t="shared" si="96"/>
        <v>474.52764058886493</v>
      </c>
      <c r="V106" s="291"/>
      <c r="W106" s="292"/>
      <c r="X106" s="294">
        <v>-4.1052941071999998</v>
      </c>
      <c r="Y106" s="295"/>
      <c r="Z106" s="296"/>
      <c r="AA106" s="290">
        <v>-12.85</v>
      </c>
      <c r="AB106" s="288">
        <f t="shared" si="102"/>
        <v>368.39396826201147</v>
      </c>
      <c r="AC106" s="277">
        <f t="shared" si="103"/>
        <v>44.699999999999996</v>
      </c>
      <c r="AD106" s="277"/>
      <c r="AE106" s="278">
        <v>359.91</v>
      </c>
      <c r="AF106" s="279">
        <v>16.52</v>
      </c>
      <c r="AG106" s="288">
        <f t="shared" si="85"/>
        <v>5.81</v>
      </c>
      <c r="AH106" s="291"/>
      <c r="AI106" s="297"/>
      <c r="AJ106" s="171">
        <f t="shared" si="118"/>
        <v>0.42069203756449092</v>
      </c>
      <c r="AK106" s="290">
        <v>24.210826761836451</v>
      </c>
      <c r="AL106" s="190">
        <f t="shared" si="87"/>
        <v>199.63</v>
      </c>
      <c r="AM106" s="190"/>
      <c r="AN106" s="292"/>
      <c r="AO106" s="298"/>
      <c r="AP106" s="290">
        <v>-7.94</v>
      </c>
      <c r="AQ106" s="288">
        <f t="shared" si="117"/>
        <v>-0.90000000000000036</v>
      </c>
      <c r="AR106" s="284">
        <v>0</v>
      </c>
      <c r="AS106" s="200">
        <v>0</v>
      </c>
      <c r="AT106" s="278">
        <f t="shared" si="104"/>
        <v>57.54999999999999</v>
      </c>
      <c r="AU106" s="278">
        <f t="shared" si="105"/>
        <v>474.52764058886493</v>
      </c>
      <c r="AV106" s="278">
        <f t="shared" si="106"/>
        <v>474.52764058886493</v>
      </c>
      <c r="AW106" s="198"/>
      <c r="AX106" s="284">
        <v>0</v>
      </c>
      <c r="AY106" s="200">
        <v>0</v>
      </c>
      <c r="AZ106" s="278">
        <f t="shared" si="107"/>
        <v>57.54999999999999</v>
      </c>
      <c r="BA106" s="278">
        <f t="shared" si="108"/>
        <v>474.52764058886493</v>
      </c>
      <c r="BB106" s="278">
        <f t="shared" si="109"/>
        <v>474.52764058886493</v>
      </c>
      <c r="BC106" s="198"/>
      <c r="BD106" s="284">
        <v>0</v>
      </c>
      <c r="BE106" s="200">
        <v>0</v>
      </c>
      <c r="BF106" s="278">
        <f t="shared" si="110"/>
        <v>57.54999999999999</v>
      </c>
      <c r="BG106" s="278">
        <f t="shared" si="111"/>
        <v>474.52764058886493</v>
      </c>
      <c r="BH106" s="278">
        <f t="shared" si="112"/>
        <v>474.52764058886493</v>
      </c>
      <c r="BI106" s="198"/>
      <c r="BJ106" s="284">
        <v>0</v>
      </c>
      <c r="BK106" s="200">
        <v>0</v>
      </c>
      <c r="BL106" s="278">
        <f t="shared" si="113"/>
        <v>57.54999999999999</v>
      </c>
      <c r="BM106" s="278">
        <f t="shared" si="114"/>
        <v>474.52764058886493</v>
      </c>
      <c r="BN106" s="278">
        <f t="shared" si="115"/>
        <v>474.52764058886493</v>
      </c>
      <c r="BO106" s="198"/>
      <c r="BP106" s="342">
        <f t="shared" si="98"/>
        <v>-12.6</v>
      </c>
      <c r="BQ106" s="284"/>
      <c r="BR106" s="284"/>
      <c r="BS106" s="285" t="s">
        <v>114</v>
      </c>
      <c r="BT106" s="183" t="s">
        <v>114</v>
      </c>
      <c r="BU106" s="183" t="s">
        <v>114</v>
      </c>
      <c r="BV106" s="299"/>
      <c r="BW106" s="284"/>
      <c r="BX106" s="284"/>
      <c r="BY106" s="285" t="s">
        <v>114</v>
      </c>
      <c r="BZ106" s="183" t="s">
        <v>114</v>
      </c>
      <c r="CA106" s="183" t="s">
        <v>114</v>
      </c>
    </row>
    <row r="107" spans="2:79" x14ac:dyDescent="0.25">
      <c r="B107" s="287">
        <v>43678</v>
      </c>
      <c r="C107" s="165">
        <f t="shared" si="88"/>
        <v>31</v>
      </c>
      <c r="D107" s="288">
        <v>54.84</v>
      </c>
      <c r="E107" s="289">
        <v>1.32782</v>
      </c>
      <c r="F107" s="288">
        <v>-4.5</v>
      </c>
      <c r="G107" s="172">
        <v>-1.3797012835</v>
      </c>
      <c r="H107" s="288">
        <f t="shared" si="99"/>
        <v>50.174880979977921</v>
      </c>
      <c r="I107" s="288">
        <f t="shared" si="100"/>
        <v>419.251202425256</v>
      </c>
      <c r="J107" s="288">
        <f t="shared" si="89"/>
        <v>420.63090370875602</v>
      </c>
      <c r="K107" s="171">
        <f t="shared" si="90"/>
        <v>0.91794310722100658</v>
      </c>
      <c r="L107" s="172">
        <f t="shared" si="119"/>
        <v>0.37999999999999989</v>
      </c>
      <c r="M107" s="288">
        <v>-4.12</v>
      </c>
      <c r="N107" s="290">
        <f t="shared" si="91"/>
        <v>50.164409599677597</v>
      </c>
      <c r="O107" s="288">
        <f t="shared" si="92"/>
        <v>419.16370567994801</v>
      </c>
      <c r="P107" s="290">
        <f t="shared" si="93"/>
        <v>423.80610719324801</v>
      </c>
      <c r="Q107" s="291"/>
      <c r="R107" s="292"/>
      <c r="S107" s="291"/>
      <c r="T107" s="288">
        <f t="shared" si="95"/>
        <v>453.589596090756</v>
      </c>
      <c r="U107" s="293">
        <f t="shared" si="96"/>
        <v>458.23199760405601</v>
      </c>
      <c r="V107" s="291"/>
      <c r="W107" s="292"/>
      <c r="X107" s="294">
        <v>-4.6424015133000003</v>
      </c>
      <c r="Y107" s="295"/>
      <c r="Z107" s="296"/>
      <c r="AA107" s="290">
        <v>-11.74</v>
      </c>
      <c r="AB107" s="288">
        <f t="shared" si="102"/>
        <v>359.95982927654097</v>
      </c>
      <c r="AC107" s="277">
        <f t="shared" si="103"/>
        <v>43.1</v>
      </c>
      <c r="AD107" s="277"/>
      <c r="AE107" s="278">
        <v>350.19</v>
      </c>
      <c r="AF107" s="279">
        <v>18.260000000000002</v>
      </c>
      <c r="AG107" s="288">
        <f t="shared" si="85"/>
        <v>7.24</v>
      </c>
      <c r="AH107" s="291"/>
      <c r="AI107" s="297"/>
      <c r="AJ107" s="171">
        <f t="shared" si="118"/>
        <v>0.40824298822021887</v>
      </c>
      <c r="AK107" s="290">
        <v>22.388045473996804</v>
      </c>
      <c r="AL107" s="190">
        <f t="shared" si="87"/>
        <v>187.07</v>
      </c>
      <c r="AM107" s="190"/>
      <c r="AN107" s="292"/>
      <c r="AO107" s="298"/>
      <c r="AP107" s="290">
        <v>-4.5999999999999996</v>
      </c>
      <c r="AQ107" s="288">
        <f t="shared" si="117"/>
        <v>-9.9999999999999645E-2</v>
      </c>
      <c r="AR107" s="284">
        <v>0</v>
      </c>
      <c r="AS107" s="200">
        <v>0</v>
      </c>
      <c r="AT107" s="278">
        <f t="shared" si="104"/>
        <v>54.840000000000011</v>
      </c>
      <c r="AU107" s="278">
        <f t="shared" si="105"/>
        <v>458.23199760405606</v>
      </c>
      <c r="AV107" s="278">
        <f t="shared" si="106"/>
        <v>458.23199760405606</v>
      </c>
      <c r="AW107" s="198"/>
      <c r="AX107" s="284">
        <v>0</v>
      </c>
      <c r="AY107" s="200">
        <v>0</v>
      </c>
      <c r="AZ107" s="278">
        <f t="shared" si="107"/>
        <v>54.840000000000011</v>
      </c>
      <c r="BA107" s="278">
        <f t="shared" si="108"/>
        <v>458.23199760405606</v>
      </c>
      <c r="BB107" s="278">
        <f t="shared" si="109"/>
        <v>458.23199760405606</v>
      </c>
      <c r="BC107" s="198"/>
      <c r="BD107" s="284">
        <v>0</v>
      </c>
      <c r="BE107" s="200">
        <v>0</v>
      </c>
      <c r="BF107" s="278">
        <f t="shared" si="110"/>
        <v>54.840000000000011</v>
      </c>
      <c r="BG107" s="278">
        <f t="shared" si="111"/>
        <v>458.23199760405606</v>
      </c>
      <c r="BH107" s="278">
        <f t="shared" si="112"/>
        <v>458.23199760405606</v>
      </c>
      <c r="BI107" s="198"/>
      <c r="BJ107" s="284">
        <v>0</v>
      </c>
      <c r="BK107" s="200">
        <v>0</v>
      </c>
      <c r="BL107" s="278">
        <f t="shared" si="113"/>
        <v>54.840000000000011</v>
      </c>
      <c r="BM107" s="278">
        <f t="shared" si="114"/>
        <v>458.23199760405606</v>
      </c>
      <c r="BN107" s="278">
        <f t="shared" si="115"/>
        <v>458.23199760405606</v>
      </c>
      <c r="BO107" s="198"/>
      <c r="BP107" s="342">
        <f t="shared" si="98"/>
        <v>-11.49</v>
      </c>
      <c r="BQ107" s="284"/>
      <c r="BR107" s="284"/>
      <c r="BS107" s="285" t="s">
        <v>114</v>
      </c>
      <c r="BT107" s="183" t="s">
        <v>114</v>
      </c>
      <c r="BU107" s="183" t="s">
        <v>114</v>
      </c>
      <c r="BV107" s="299"/>
      <c r="BW107" s="284"/>
      <c r="BX107" s="284"/>
      <c r="BY107" s="285" t="s">
        <v>114</v>
      </c>
      <c r="BZ107" s="183" t="s">
        <v>114</v>
      </c>
      <c r="CA107" s="183" t="s">
        <v>114</v>
      </c>
    </row>
    <row r="108" spans="2:79" x14ac:dyDescent="0.25">
      <c r="B108" s="287">
        <v>43709</v>
      </c>
      <c r="C108" s="165">
        <f t="shared" si="88"/>
        <v>30</v>
      </c>
      <c r="D108" s="288">
        <v>56.97</v>
      </c>
      <c r="E108" s="289">
        <v>1.3241099999999999</v>
      </c>
      <c r="F108" s="288">
        <v>-2.44</v>
      </c>
      <c r="G108" s="172">
        <v>-0.83711942979999998</v>
      </c>
      <c r="H108" s="288">
        <f t="shared" si="99"/>
        <v>54.429535044404041</v>
      </c>
      <c r="I108" s="288">
        <f t="shared" si="100"/>
        <v>453.53149334872097</v>
      </c>
      <c r="J108" s="288">
        <f t="shared" si="89"/>
        <v>454.36861277852097</v>
      </c>
      <c r="K108" s="171">
        <f t="shared" si="90"/>
        <v>0.9571704405827629</v>
      </c>
      <c r="L108" s="172">
        <f t="shared" si="119"/>
        <v>-0.87000000000000011</v>
      </c>
      <c r="M108" s="288">
        <v>-3.31</v>
      </c>
      <c r="N108" s="290">
        <f t="shared" si="91"/>
        <v>53.181827147646466</v>
      </c>
      <c r="O108" s="288">
        <f t="shared" si="92"/>
        <v>443.13502706956189</v>
      </c>
      <c r="P108" s="290">
        <f t="shared" si="93"/>
        <v>447.11937945526188</v>
      </c>
      <c r="Q108" s="291"/>
      <c r="R108" s="292"/>
      <c r="S108" s="291"/>
      <c r="T108" s="288">
        <f t="shared" si="95"/>
        <v>470.715443506329</v>
      </c>
      <c r="U108" s="293">
        <f t="shared" si="96"/>
        <v>474.69979589202899</v>
      </c>
      <c r="V108" s="291"/>
      <c r="W108" s="292"/>
      <c r="X108" s="294">
        <v>-3.9843523856999998</v>
      </c>
      <c r="Y108" s="295"/>
      <c r="Z108" s="296"/>
      <c r="AA108" s="290">
        <v>-12.13</v>
      </c>
      <c r="AB108" s="288">
        <f t="shared" si="102"/>
        <v>373.44549999499014</v>
      </c>
      <c r="AC108" s="277">
        <f t="shared" si="103"/>
        <v>44.839999999999996</v>
      </c>
      <c r="AD108" s="277"/>
      <c r="AE108" s="278">
        <v>359.24</v>
      </c>
      <c r="AF108" s="279">
        <v>17.75</v>
      </c>
      <c r="AG108" s="288">
        <f t="shared" si="85"/>
        <v>9.6900000000000013</v>
      </c>
      <c r="AH108" s="291"/>
      <c r="AI108" s="297"/>
      <c r="AJ108" s="171">
        <f t="shared" si="118"/>
        <v>0.36130203021829432</v>
      </c>
      <c r="AK108" s="290">
        <v>20.583376661536228</v>
      </c>
      <c r="AL108" s="190">
        <f t="shared" si="87"/>
        <v>171.51</v>
      </c>
      <c r="AM108" s="190"/>
      <c r="AN108" s="292"/>
      <c r="AO108" s="298"/>
      <c r="AP108" s="290">
        <v>-3.96</v>
      </c>
      <c r="AQ108" s="288">
        <f t="shared" si="117"/>
        <v>-1.52</v>
      </c>
      <c r="AR108" s="284">
        <v>0</v>
      </c>
      <c r="AS108" s="200">
        <v>0</v>
      </c>
      <c r="AT108" s="278">
        <f t="shared" si="104"/>
        <v>56.97</v>
      </c>
      <c r="AU108" s="278">
        <f t="shared" si="105"/>
        <v>474.69979589202893</v>
      </c>
      <c r="AV108" s="278">
        <f t="shared" si="106"/>
        <v>474.69979589202893</v>
      </c>
      <c r="AW108" s="198"/>
      <c r="AX108" s="284">
        <v>0</v>
      </c>
      <c r="AY108" s="200">
        <v>0</v>
      </c>
      <c r="AZ108" s="278">
        <f t="shared" si="107"/>
        <v>56.97</v>
      </c>
      <c r="BA108" s="278">
        <f t="shared" si="108"/>
        <v>474.69979589202893</v>
      </c>
      <c r="BB108" s="278">
        <f t="shared" si="109"/>
        <v>474.69979589202893</v>
      </c>
      <c r="BC108" s="198"/>
      <c r="BD108" s="284">
        <v>0</v>
      </c>
      <c r="BE108" s="200">
        <v>0</v>
      </c>
      <c r="BF108" s="278">
        <f t="shared" si="110"/>
        <v>56.97</v>
      </c>
      <c r="BG108" s="278">
        <f t="shared" si="111"/>
        <v>474.69979589202893</v>
      </c>
      <c r="BH108" s="278">
        <f t="shared" si="112"/>
        <v>474.69979589202893</v>
      </c>
      <c r="BI108" s="198"/>
      <c r="BJ108" s="284">
        <v>0</v>
      </c>
      <c r="BK108" s="200">
        <v>0</v>
      </c>
      <c r="BL108" s="278">
        <f t="shared" si="113"/>
        <v>56.97</v>
      </c>
      <c r="BM108" s="278">
        <f t="shared" si="114"/>
        <v>474.69979589202893</v>
      </c>
      <c r="BN108" s="278">
        <f t="shared" si="115"/>
        <v>474.69979589202893</v>
      </c>
      <c r="BO108" s="198"/>
      <c r="BP108" s="342">
        <f t="shared" si="98"/>
        <v>-11.88</v>
      </c>
      <c r="BQ108" s="284"/>
      <c r="BR108" s="284"/>
      <c r="BS108" s="285" t="s">
        <v>114</v>
      </c>
      <c r="BT108" s="183" t="s">
        <v>114</v>
      </c>
      <c r="BU108" s="183" t="s">
        <v>114</v>
      </c>
      <c r="BV108" s="299"/>
      <c r="BW108" s="284"/>
      <c r="BX108" s="284"/>
      <c r="BY108" s="285" t="s">
        <v>114</v>
      </c>
      <c r="BZ108" s="183" t="s">
        <v>114</v>
      </c>
      <c r="CA108" s="183" t="s">
        <v>114</v>
      </c>
    </row>
    <row r="109" spans="2:79" x14ac:dyDescent="0.25">
      <c r="B109" s="287">
        <v>43739</v>
      </c>
      <c r="C109" s="165">
        <f t="shared" si="88"/>
        <v>31</v>
      </c>
      <c r="D109" s="288">
        <v>54.01</v>
      </c>
      <c r="E109" s="289">
        <v>1.31898</v>
      </c>
      <c r="F109" s="288">
        <v>-4.34</v>
      </c>
      <c r="G109" s="172">
        <v>-1.2440171229999999</v>
      </c>
      <c r="H109" s="288">
        <f t="shared" si="99"/>
        <v>49.520121482804555</v>
      </c>
      <c r="I109" s="288">
        <f t="shared" si="100"/>
        <v>411.02541051504204</v>
      </c>
      <c r="J109" s="288">
        <f t="shared" si="89"/>
        <v>412.26942763804203</v>
      </c>
      <c r="K109" s="171">
        <f t="shared" si="90"/>
        <v>0.9196445102758749</v>
      </c>
      <c r="L109" s="172">
        <f t="shared" si="119"/>
        <v>-2.7700000000000005</v>
      </c>
      <c r="M109" s="288">
        <v>-7.11</v>
      </c>
      <c r="N109" s="290">
        <f t="shared" si="91"/>
        <v>46.192624158843152</v>
      </c>
      <c r="O109" s="288">
        <f t="shared" si="92"/>
        <v>383.40661814103998</v>
      </c>
      <c r="P109" s="290">
        <f t="shared" si="93"/>
        <v>389.27795764493999</v>
      </c>
      <c r="Q109" s="291"/>
      <c r="R109" s="292"/>
      <c r="S109" s="291"/>
      <c r="T109" s="288">
        <f t="shared" si="95"/>
        <v>442.42082451322602</v>
      </c>
      <c r="U109" s="293">
        <f t="shared" si="96"/>
        <v>448.29216401712603</v>
      </c>
      <c r="V109" s="291"/>
      <c r="W109" s="292"/>
      <c r="X109" s="294">
        <v>-5.8713395038999998</v>
      </c>
      <c r="Y109" s="295"/>
      <c r="Z109" s="296"/>
      <c r="AA109" s="290">
        <v>-12.05</v>
      </c>
      <c r="AB109" s="288">
        <f t="shared" si="102"/>
        <v>348.10579326804833</v>
      </c>
      <c r="AC109" s="277">
        <f t="shared" si="103"/>
        <v>41.959999999999994</v>
      </c>
      <c r="AD109" s="277"/>
      <c r="AE109" s="278">
        <v>334.61</v>
      </c>
      <c r="AF109" s="279">
        <v>14.729999999999999</v>
      </c>
      <c r="AG109" s="288">
        <f t="shared" si="85"/>
        <v>7.7100000000000009</v>
      </c>
      <c r="AH109" s="291"/>
      <c r="AI109" s="297"/>
      <c r="AJ109" s="171">
        <f t="shared" si="118"/>
        <v>0.37430946482836491</v>
      </c>
      <c r="AK109" s="290">
        <v>20.216454195379988</v>
      </c>
      <c r="AL109" s="190">
        <f t="shared" si="87"/>
        <v>167.8</v>
      </c>
      <c r="AM109" s="190"/>
      <c r="AN109" s="292"/>
      <c r="AO109" s="298"/>
      <c r="AP109" s="290">
        <v>-4.58</v>
      </c>
      <c r="AQ109" s="288">
        <f t="shared" si="117"/>
        <v>-0.24000000000000021</v>
      </c>
      <c r="AR109" s="284">
        <v>0</v>
      </c>
      <c r="AS109" s="200">
        <v>0</v>
      </c>
      <c r="AT109" s="278">
        <f t="shared" si="104"/>
        <v>54.010000000000005</v>
      </c>
      <c r="AU109" s="278">
        <f t="shared" si="105"/>
        <v>448.29216401712597</v>
      </c>
      <c r="AV109" s="278">
        <f t="shared" si="106"/>
        <v>448.29216401712597</v>
      </c>
      <c r="AW109" s="198"/>
      <c r="AX109" s="284">
        <v>0</v>
      </c>
      <c r="AY109" s="200">
        <v>0</v>
      </c>
      <c r="AZ109" s="278">
        <f t="shared" si="107"/>
        <v>54.010000000000005</v>
      </c>
      <c r="BA109" s="278">
        <f t="shared" si="108"/>
        <v>448.29216401712597</v>
      </c>
      <c r="BB109" s="278">
        <f t="shared" si="109"/>
        <v>448.29216401712597</v>
      </c>
      <c r="BC109" s="198"/>
      <c r="BD109" s="284">
        <v>0</v>
      </c>
      <c r="BE109" s="200">
        <v>0</v>
      </c>
      <c r="BF109" s="278">
        <f t="shared" si="110"/>
        <v>54.010000000000005</v>
      </c>
      <c r="BG109" s="278">
        <f t="shared" si="111"/>
        <v>448.29216401712597</v>
      </c>
      <c r="BH109" s="278">
        <f t="shared" si="112"/>
        <v>448.29216401712597</v>
      </c>
      <c r="BI109" s="198"/>
      <c r="BJ109" s="284">
        <v>0</v>
      </c>
      <c r="BK109" s="200">
        <v>0</v>
      </c>
      <c r="BL109" s="278">
        <f t="shared" si="113"/>
        <v>54.010000000000005</v>
      </c>
      <c r="BM109" s="278">
        <f t="shared" si="114"/>
        <v>448.29216401712597</v>
      </c>
      <c r="BN109" s="278">
        <f t="shared" si="115"/>
        <v>448.29216401712597</v>
      </c>
      <c r="BO109" s="198"/>
      <c r="BP109" s="342">
        <f t="shared" si="98"/>
        <v>-11.8</v>
      </c>
      <c r="BQ109" s="284"/>
      <c r="BR109" s="284"/>
      <c r="BS109" s="285" t="s">
        <v>114</v>
      </c>
      <c r="BT109" s="183" t="s">
        <v>114</v>
      </c>
      <c r="BU109" s="183" t="s">
        <v>114</v>
      </c>
      <c r="BV109" s="299"/>
      <c r="BW109" s="284"/>
      <c r="BX109" s="284"/>
      <c r="BY109" s="285" t="s">
        <v>114</v>
      </c>
      <c r="BZ109" s="183" t="s">
        <v>114</v>
      </c>
      <c r="CA109" s="183" t="s">
        <v>114</v>
      </c>
    </row>
    <row r="110" spans="2:79" x14ac:dyDescent="0.25">
      <c r="B110" s="287">
        <v>43770</v>
      </c>
      <c r="C110" s="165">
        <f t="shared" si="88"/>
        <v>30</v>
      </c>
      <c r="D110" s="288">
        <v>57.07</v>
      </c>
      <c r="E110" s="289">
        <v>1.3239799999999999</v>
      </c>
      <c r="F110" s="288">
        <v>-4.16</v>
      </c>
      <c r="G110" s="172">
        <v>-1.1273216351999999</v>
      </c>
      <c r="H110" s="288">
        <f t="shared" si="99"/>
        <v>52.774693812505184</v>
      </c>
      <c r="I110" s="288">
        <f t="shared" si="100"/>
        <v>439.69943450056587</v>
      </c>
      <c r="J110" s="288">
        <f t="shared" si="89"/>
        <v>440.82675613576589</v>
      </c>
      <c r="K110" s="171">
        <f t="shared" si="90"/>
        <v>0.92710706150341682</v>
      </c>
      <c r="L110" s="172">
        <f t="shared" si="119"/>
        <v>1.8900000000000001</v>
      </c>
      <c r="M110" s="288">
        <v>-2.27</v>
      </c>
      <c r="N110" s="290">
        <f t="shared" si="91"/>
        <v>54.410274312542739</v>
      </c>
      <c r="O110" s="288">
        <f t="shared" si="92"/>
        <v>453.3264926413799</v>
      </c>
      <c r="P110" s="290">
        <f t="shared" si="93"/>
        <v>456.57354443847993</v>
      </c>
      <c r="Q110" s="291"/>
      <c r="R110" s="292"/>
      <c r="S110" s="291"/>
      <c r="T110" s="288">
        <f t="shared" si="95"/>
        <v>472.23930187268195</v>
      </c>
      <c r="U110" s="293">
        <f t="shared" si="96"/>
        <v>475.48635366978198</v>
      </c>
      <c r="V110" s="291"/>
      <c r="W110" s="292"/>
      <c r="X110" s="294">
        <v>-3.2470517971000001</v>
      </c>
      <c r="Y110" s="295">
        <v>0.27</v>
      </c>
      <c r="Z110" s="296"/>
      <c r="AA110" s="290">
        <v>-14.75</v>
      </c>
      <c r="AB110" s="288">
        <f t="shared" si="102"/>
        <v>352.42332550103282</v>
      </c>
      <c r="AC110" s="277">
        <f t="shared" si="103"/>
        <v>42.32</v>
      </c>
      <c r="AD110" s="277"/>
      <c r="AE110" s="278">
        <v>339.6</v>
      </c>
      <c r="AF110" s="279">
        <v>11.5</v>
      </c>
      <c r="AG110" s="288">
        <f t="shared" si="85"/>
        <v>10.59</v>
      </c>
      <c r="AH110" s="291"/>
      <c r="AI110" s="297"/>
      <c r="AJ110" s="171">
        <f t="shared" si="118"/>
        <v>0.38638332852679669</v>
      </c>
      <c r="AK110" s="290">
        <v>22.050896559024288</v>
      </c>
      <c r="AL110" s="190">
        <f t="shared" si="87"/>
        <v>183.72</v>
      </c>
      <c r="AM110" s="190"/>
      <c r="AN110" s="292"/>
      <c r="AO110" s="298"/>
      <c r="AP110" s="290">
        <v>-4.3099999999999996</v>
      </c>
      <c r="AQ110" s="288">
        <f t="shared" si="117"/>
        <v>-0.14999999999999947</v>
      </c>
      <c r="AR110" s="284">
        <v>0</v>
      </c>
      <c r="AS110" s="200">
        <v>0</v>
      </c>
      <c r="AT110" s="278">
        <f t="shared" si="104"/>
        <v>57.07</v>
      </c>
      <c r="AU110" s="278">
        <f t="shared" si="105"/>
        <v>475.48635366978198</v>
      </c>
      <c r="AV110" s="278">
        <f t="shared" si="106"/>
        <v>475.48635366978198</v>
      </c>
      <c r="AW110" s="198"/>
      <c r="AX110" s="284">
        <v>0</v>
      </c>
      <c r="AY110" s="200">
        <v>0</v>
      </c>
      <c r="AZ110" s="278">
        <f t="shared" si="107"/>
        <v>57.07</v>
      </c>
      <c r="BA110" s="278">
        <f t="shared" si="108"/>
        <v>475.48635366978198</v>
      </c>
      <c r="BB110" s="278">
        <f t="shared" si="109"/>
        <v>475.48635366978198</v>
      </c>
      <c r="BC110" s="198"/>
      <c r="BD110" s="284">
        <v>0</v>
      </c>
      <c r="BE110" s="200">
        <v>0</v>
      </c>
      <c r="BF110" s="278">
        <f t="shared" si="110"/>
        <v>57.07</v>
      </c>
      <c r="BG110" s="278">
        <f t="shared" si="111"/>
        <v>475.48635366978198</v>
      </c>
      <c r="BH110" s="278">
        <f t="shared" si="112"/>
        <v>475.48635366978198</v>
      </c>
      <c r="BI110" s="198"/>
      <c r="BJ110" s="284">
        <v>0</v>
      </c>
      <c r="BK110" s="200">
        <v>0</v>
      </c>
      <c r="BL110" s="278">
        <f t="shared" si="113"/>
        <v>57.07</v>
      </c>
      <c r="BM110" s="278">
        <f t="shared" si="114"/>
        <v>475.48635366978198</v>
      </c>
      <c r="BN110" s="278">
        <f t="shared" si="115"/>
        <v>475.48635366978198</v>
      </c>
      <c r="BO110" s="198"/>
      <c r="BP110" s="342">
        <f t="shared" si="98"/>
        <v>-14.5</v>
      </c>
      <c r="BQ110" s="284"/>
      <c r="BR110" s="284"/>
      <c r="BS110" s="285" t="s">
        <v>114</v>
      </c>
      <c r="BT110" s="183" t="s">
        <v>114</v>
      </c>
      <c r="BU110" s="183" t="s">
        <v>114</v>
      </c>
      <c r="BV110" s="299"/>
      <c r="BW110" s="284"/>
      <c r="BX110" s="284"/>
      <c r="BY110" s="285" t="s">
        <v>114</v>
      </c>
      <c r="BZ110" s="183" t="s">
        <v>114</v>
      </c>
      <c r="CA110" s="183" t="s">
        <v>114</v>
      </c>
    </row>
    <row r="111" spans="2:79" x14ac:dyDescent="0.25">
      <c r="B111" s="300">
        <v>43800</v>
      </c>
      <c r="C111" s="203">
        <f t="shared" si="88"/>
        <v>31</v>
      </c>
      <c r="D111" s="301">
        <v>59.8</v>
      </c>
      <c r="E111" s="302">
        <v>1.3171900000000001</v>
      </c>
      <c r="F111" s="301">
        <v>-7.62</v>
      </c>
      <c r="G111" s="210">
        <v>0.38817731119999999</v>
      </c>
      <c r="H111" s="301">
        <f t="shared" si="99"/>
        <v>52.226830949421483</v>
      </c>
      <c r="I111" s="301">
        <f t="shared" si="100"/>
        <v>432.90326292515402</v>
      </c>
      <c r="J111" s="301">
        <f t="shared" si="89"/>
        <v>432.515085613954</v>
      </c>
      <c r="K111" s="209">
        <f t="shared" si="90"/>
        <v>0.87257525083612042</v>
      </c>
      <c r="L111" s="210">
        <f t="shared" si="119"/>
        <v>5.16</v>
      </c>
      <c r="M111" s="301">
        <v>-2.46</v>
      </c>
      <c r="N111" s="303">
        <f t="shared" si="91"/>
        <v>56.727738917108745</v>
      </c>
      <c r="O111" s="301">
        <f t="shared" si="92"/>
        <v>470.21086344230201</v>
      </c>
      <c r="P111" s="303">
        <f t="shared" si="93"/>
        <v>475.285837660102</v>
      </c>
      <c r="Q111" s="304"/>
      <c r="R111" s="305"/>
      <c r="S111" s="304"/>
      <c r="T111" s="301">
        <f t="shared" si="95"/>
        <v>490.60157081313997</v>
      </c>
      <c r="U111" s="303">
        <f t="shared" si="96"/>
        <v>495.67654503093996</v>
      </c>
      <c r="V111" s="304"/>
      <c r="W111" s="305"/>
      <c r="X111" s="306">
        <v>-5.0749742178000004</v>
      </c>
      <c r="Y111" s="307">
        <v>0.39</v>
      </c>
      <c r="Z111" s="308"/>
      <c r="AA111" s="303">
        <v>-20.69</v>
      </c>
      <c r="AB111" s="301">
        <f t="shared" si="102"/>
        <v>324.02148051147941</v>
      </c>
      <c r="AC111" s="277">
        <f t="shared" si="103"/>
        <v>39.11</v>
      </c>
      <c r="AD111" s="277"/>
      <c r="AE111" s="278">
        <v>312.33999999999997</v>
      </c>
      <c r="AF111" s="279">
        <v>8.98</v>
      </c>
      <c r="AG111" s="301">
        <f t="shared" si="85"/>
        <v>13.07</v>
      </c>
      <c r="AH111" s="304"/>
      <c r="AI111" s="309"/>
      <c r="AJ111" s="209">
        <f t="shared" si="118"/>
        <v>0.42664919718321442</v>
      </c>
      <c r="AK111" s="303">
        <v>25.513621991556221</v>
      </c>
      <c r="AL111" s="228">
        <f t="shared" si="87"/>
        <v>211.47999999999996</v>
      </c>
      <c r="AM111" s="228"/>
      <c r="AN111" s="305"/>
      <c r="AO111" s="310"/>
      <c r="AP111" s="303">
        <v>-8.01</v>
      </c>
      <c r="AQ111" s="301">
        <f t="shared" si="117"/>
        <v>-0.38999999999999968</v>
      </c>
      <c r="AR111" s="311">
        <v>0</v>
      </c>
      <c r="AS111" s="238">
        <v>0</v>
      </c>
      <c r="AT111" s="312">
        <f t="shared" si="104"/>
        <v>59.8</v>
      </c>
      <c r="AU111" s="312">
        <f t="shared" si="105"/>
        <v>495.67654503093996</v>
      </c>
      <c r="AV111" s="312">
        <f t="shared" si="106"/>
        <v>495.67654503093996</v>
      </c>
      <c r="AW111" s="236"/>
      <c r="AX111" s="311">
        <v>0</v>
      </c>
      <c r="AY111" s="238">
        <v>0</v>
      </c>
      <c r="AZ111" s="312">
        <f t="shared" si="107"/>
        <v>59.8</v>
      </c>
      <c r="BA111" s="312">
        <f t="shared" si="108"/>
        <v>495.67654503093996</v>
      </c>
      <c r="BB111" s="312">
        <f t="shared" si="109"/>
        <v>495.67654503093996</v>
      </c>
      <c r="BC111" s="236"/>
      <c r="BD111" s="311">
        <v>0</v>
      </c>
      <c r="BE111" s="238">
        <v>0</v>
      </c>
      <c r="BF111" s="312">
        <f t="shared" si="110"/>
        <v>59.8</v>
      </c>
      <c r="BG111" s="312">
        <f t="shared" si="111"/>
        <v>495.67654503093996</v>
      </c>
      <c r="BH111" s="312">
        <f t="shared" si="112"/>
        <v>495.67654503093996</v>
      </c>
      <c r="BI111" s="236"/>
      <c r="BJ111" s="311">
        <v>0</v>
      </c>
      <c r="BK111" s="238">
        <v>0</v>
      </c>
      <c r="BL111" s="312">
        <f t="shared" si="113"/>
        <v>59.8</v>
      </c>
      <c r="BM111" s="312">
        <f t="shared" si="114"/>
        <v>495.67654503093996</v>
      </c>
      <c r="BN111" s="312">
        <f t="shared" si="115"/>
        <v>495.67654503093996</v>
      </c>
      <c r="BO111" s="236"/>
      <c r="BP111" s="344">
        <f t="shared" si="98"/>
        <v>-20.440000000000001</v>
      </c>
      <c r="BQ111" s="311"/>
      <c r="BR111" s="284"/>
      <c r="BS111" s="313" t="s">
        <v>114</v>
      </c>
      <c r="BT111" s="221" t="s">
        <v>114</v>
      </c>
      <c r="BU111" s="183" t="s">
        <v>114</v>
      </c>
      <c r="BV111" s="314"/>
      <c r="BW111" s="311"/>
      <c r="BX111" s="284"/>
      <c r="BY111" s="313" t="s">
        <v>114</v>
      </c>
      <c r="BZ111" s="221" t="s">
        <v>114</v>
      </c>
      <c r="CA111" s="183" t="s">
        <v>114</v>
      </c>
    </row>
    <row r="112" spans="2:79" x14ac:dyDescent="0.25">
      <c r="B112" s="287">
        <v>43831</v>
      </c>
      <c r="C112" s="165">
        <f t="shared" si="88"/>
        <v>31</v>
      </c>
      <c r="D112" s="288">
        <v>57.53</v>
      </c>
      <c r="E112" s="289">
        <v>1.3088</v>
      </c>
      <c r="F112" s="288">
        <v>-6.02</v>
      </c>
      <c r="G112" s="172">
        <v>0.70209986079999998</v>
      </c>
      <c r="H112" s="288">
        <f t="shared" si="99"/>
        <v>51.595246555651883</v>
      </c>
      <c r="I112" s="288">
        <f t="shared" si="100"/>
        <v>424.94403612735999</v>
      </c>
      <c r="J112" s="288">
        <f t="shared" si="89"/>
        <v>424.24193626656</v>
      </c>
      <c r="K112" s="171">
        <f t="shared" si="90"/>
        <v>0.89535894316009046</v>
      </c>
      <c r="L112" s="172">
        <f t="shared" si="119"/>
        <v>8.879999999999999</v>
      </c>
      <c r="M112" s="288">
        <v>2.86</v>
      </c>
      <c r="N112" s="290">
        <f t="shared" si="91"/>
        <v>59.875436011588043</v>
      </c>
      <c r="O112" s="288">
        <f t="shared" si="92"/>
        <v>493.14057286663996</v>
      </c>
      <c r="P112" s="290">
        <f t="shared" si="93"/>
        <v>497.37857757983994</v>
      </c>
      <c r="Q112" s="291"/>
      <c r="R112" s="292"/>
      <c r="S112" s="291"/>
      <c r="T112" s="288">
        <f t="shared" si="95"/>
        <v>469.58530325448004</v>
      </c>
      <c r="U112" s="293">
        <f t="shared" si="96"/>
        <v>473.82330796768002</v>
      </c>
      <c r="V112" s="291"/>
      <c r="W112" s="292"/>
      <c r="X112" s="294">
        <v>-4.2380047131999996</v>
      </c>
      <c r="Y112" s="295">
        <v>0.51</v>
      </c>
      <c r="Z112" s="296"/>
      <c r="AA112" s="290">
        <v>-20.71</v>
      </c>
      <c r="AB112" s="288">
        <f t="shared" si="102"/>
        <v>303.10606863196801</v>
      </c>
      <c r="AC112" s="315">
        <f t="shared" si="103"/>
        <v>36.82</v>
      </c>
      <c r="AD112" s="315"/>
      <c r="AE112" s="316">
        <v>295.51</v>
      </c>
      <c r="AF112" s="268">
        <v>7.7399999999999993</v>
      </c>
      <c r="AG112" s="288">
        <f t="shared" si="85"/>
        <v>14.690000000000001</v>
      </c>
      <c r="AH112" s="317"/>
      <c r="AI112" s="297"/>
      <c r="AJ112" s="171">
        <f t="shared" si="118"/>
        <v>0.46352721849424344</v>
      </c>
      <c r="AK112" s="290">
        <v>26.666720879973827</v>
      </c>
      <c r="AL112" s="190">
        <f t="shared" si="87"/>
        <v>219.63000000000002</v>
      </c>
      <c r="AM112" s="151"/>
      <c r="AN112" s="292"/>
      <c r="AO112" s="298"/>
      <c r="AP112" s="290">
        <v>-6.46</v>
      </c>
      <c r="AQ112" s="288">
        <f t="shared" si="117"/>
        <v>-0.44000000000000039</v>
      </c>
      <c r="AR112" s="284">
        <v>0</v>
      </c>
      <c r="AS112" s="200">
        <v>0</v>
      </c>
      <c r="AT112" s="278">
        <f t="shared" si="104"/>
        <v>57.53</v>
      </c>
      <c r="AU112" s="278">
        <f t="shared" si="105"/>
        <v>473.82330796767997</v>
      </c>
      <c r="AV112" s="278">
        <f t="shared" si="106"/>
        <v>473.82330796767997</v>
      </c>
      <c r="AW112" s="198"/>
      <c r="AX112" s="284">
        <v>0</v>
      </c>
      <c r="AY112" s="200">
        <v>0</v>
      </c>
      <c r="AZ112" s="278">
        <f t="shared" si="107"/>
        <v>57.53</v>
      </c>
      <c r="BA112" s="278">
        <f t="shared" si="108"/>
        <v>473.82330796767997</v>
      </c>
      <c r="BB112" s="278">
        <f t="shared" si="109"/>
        <v>473.82330796767997</v>
      </c>
      <c r="BC112" s="198"/>
      <c r="BD112" s="284">
        <v>0</v>
      </c>
      <c r="BE112" s="200">
        <v>0</v>
      </c>
      <c r="BF112" s="278">
        <f t="shared" si="110"/>
        <v>57.53</v>
      </c>
      <c r="BG112" s="278">
        <f t="shared" si="111"/>
        <v>473.82330796767997</v>
      </c>
      <c r="BH112" s="278">
        <f t="shared" si="112"/>
        <v>473.82330796767997</v>
      </c>
      <c r="BI112" s="198"/>
      <c r="BJ112" s="284">
        <v>0</v>
      </c>
      <c r="BK112" s="200">
        <v>0</v>
      </c>
      <c r="BL112" s="278">
        <f t="shared" si="113"/>
        <v>57.53</v>
      </c>
      <c r="BM112" s="278">
        <f t="shared" si="114"/>
        <v>473.82330796767997</v>
      </c>
      <c r="BN112" s="278">
        <f t="shared" si="115"/>
        <v>473.82330796767997</v>
      </c>
      <c r="BO112" s="198"/>
      <c r="BP112" s="342">
        <f t="shared" si="98"/>
        <v>-20.46</v>
      </c>
      <c r="BQ112" s="284"/>
      <c r="BR112" s="318"/>
      <c r="BS112" s="285" t="s">
        <v>114</v>
      </c>
      <c r="BT112" s="183" t="s">
        <v>114</v>
      </c>
      <c r="BU112" s="145" t="s">
        <v>114</v>
      </c>
      <c r="BV112" s="299"/>
      <c r="BW112" s="284"/>
      <c r="BX112" s="318"/>
      <c r="BY112" s="285" t="s">
        <v>114</v>
      </c>
      <c r="BZ112" s="183" t="s">
        <v>114</v>
      </c>
      <c r="CA112" s="145" t="s">
        <v>114</v>
      </c>
    </row>
    <row r="113" spans="2:79" x14ac:dyDescent="0.25">
      <c r="B113" s="287">
        <v>43862</v>
      </c>
      <c r="C113" s="165">
        <v>29</v>
      </c>
      <c r="D113" s="288">
        <v>50.54</v>
      </c>
      <c r="E113" s="289">
        <v>1.3287199999999999</v>
      </c>
      <c r="F113" s="288">
        <v>-8.7799999999999994</v>
      </c>
      <c r="G113" s="172">
        <v>1.6772286581</v>
      </c>
      <c r="H113" s="288">
        <f t="shared" si="99"/>
        <v>41.960590352821832</v>
      </c>
      <c r="I113" s="288">
        <f t="shared" si="100"/>
        <v>350.85189123256396</v>
      </c>
      <c r="J113" s="288">
        <f t="shared" si="89"/>
        <v>349.17466257446398</v>
      </c>
      <c r="K113" s="171">
        <f t="shared" si="90"/>
        <v>0.82627621685793429</v>
      </c>
      <c r="L113" s="172">
        <f t="shared" si="119"/>
        <v>7.85</v>
      </c>
      <c r="M113" s="288">
        <v>-0.93</v>
      </c>
      <c r="N113" s="290">
        <f t="shared" si="91"/>
        <v>48.710089769676607</v>
      </c>
      <c r="O113" s="288">
        <f t="shared" si="92"/>
        <v>407.28757565370398</v>
      </c>
      <c r="P113" s="290">
        <f t="shared" si="93"/>
        <v>414.81214105170397</v>
      </c>
      <c r="Q113" s="291"/>
      <c r="R113" s="292"/>
      <c r="S113" s="291"/>
      <c r="T113" s="288">
        <f t="shared" si="95"/>
        <v>415.06373552425595</v>
      </c>
      <c r="U113" s="293">
        <f t="shared" si="96"/>
        <v>422.58830092225594</v>
      </c>
      <c r="V113" s="291"/>
      <c r="W113" s="292"/>
      <c r="X113" s="294">
        <v>-7.524565398</v>
      </c>
      <c r="Y113" s="295">
        <v>0.49</v>
      </c>
      <c r="Z113" s="296"/>
      <c r="AA113" s="290">
        <v>-23.26</v>
      </c>
      <c r="AB113" s="288">
        <f t="shared" si="102"/>
        <v>227.98979036623675</v>
      </c>
      <c r="AC113" s="319">
        <f t="shared" si="103"/>
        <v>27.279999999999998</v>
      </c>
      <c r="AD113" s="319"/>
      <c r="AE113" s="278">
        <v>219.39</v>
      </c>
      <c r="AF113" s="279">
        <v>7.5</v>
      </c>
      <c r="AG113" s="288">
        <f t="shared" si="85"/>
        <v>14.480000000000002</v>
      </c>
      <c r="AH113" s="291"/>
      <c r="AI113" s="297"/>
      <c r="AJ113" s="171">
        <f t="shared" si="118"/>
        <v>0.43796763799679678</v>
      </c>
      <c r="AK113" s="290">
        <v>22.134884424358109</v>
      </c>
      <c r="AL113" s="190">
        <f t="shared" si="87"/>
        <v>185.08000000000004</v>
      </c>
      <c r="AM113" s="190"/>
      <c r="AN113" s="292"/>
      <c r="AO113" s="298"/>
      <c r="AP113" s="290">
        <v>-8.6999999999999993</v>
      </c>
      <c r="AQ113" s="288">
        <f t="shared" si="117"/>
        <v>8.0000000000000071E-2</v>
      </c>
      <c r="AR113" s="284">
        <v>0</v>
      </c>
      <c r="AS113" s="200">
        <v>0</v>
      </c>
      <c r="AT113" s="278">
        <f t="shared" si="104"/>
        <v>50.54</v>
      </c>
      <c r="AU113" s="278">
        <f t="shared" si="105"/>
        <v>422.58830092225594</v>
      </c>
      <c r="AV113" s="278">
        <f t="shared" si="106"/>
        <v>422.58830092225594</v>
      </c>
      <c r="AW113" s="198"/>
      <c r="AX113" s="284">
        <v>0</v>
      </c>
      <c r="AY113" s="200">
        <v>0</v>
      </c>
      <c r="AZ113" s="278">
        <f t="shared" si="107"/>
        <v>50.54</v>
      </c>
      <c r="BA113" s="278">
        <f t="shared" si="108"/>
        <v>422.58830092225594</v>
      </c>
      <c r="BB113" s="278">
        <f t="shared" si="109"/>
        <v>422.58830092225594</v>
      </c>
      <c r="BC113" s="198"/>
      <c r="BD113" s="284">
        <v>0</v>
      </c>
      <c r="BE113" s="200">
        <v>0</v>
      </c>
      <c r="BF113" s="278">
        <f t="shared" si="110"/>
        <v>50.54</v>
      </c>
      <c r="BG113" s="278">
        <f t="shared" si="111"/>
        <v>422.58830092225594</v>
      </c>
      <c r="BH113" s="278">
        <f t="shared" si="112"/>
        <v>422.58830092225594</v>
      </c>
      <c r="BI113" s="198"/>
      <c r="BJ113" s="284">
        <v>0</v>
      </c>
      <c r="BK113" s="200">
        <v>0</v>
      </c>
      <c r="BL113" s="278">
        <f t="shared" si="113"/>
        <v>50.54</v>
      </c>
      <c r="BM113" s="278">
        <f t="shared" si="114"/>
        <v>422.58830092225594</v>
      </c>
      <c r="BN113" s="278">
        <f t="shared" si="115"/>
        <v>422.58830092225594</v>
      </c>
      <c r="BO113" s="198"/>
      <c r="BP113" s="342">
        <f t="shared" si="98"/>
        <v>-23.01</v>
      </c>
      <c r="BQ113" s="284"/>
      <c r="BR113" s="284"/>
      <c r="BS113" s="285" t="s">
        <v>114</v>
      </c>
      <c r="BT113" s="183" t="s">
        <v>114</v>
      </c>
      <c r="BU113" s="183" t="s">
        <v>114</v>
      </c>
      <c r="BV113" s="299"/>
      <c r="BW113" s="284"/>
      <c r="BX113" s="284"/>
      <c r="BY113" s="285" t="s">
        <v>114</v>
      </c>
      <c r="BZ113" s="183" t="s">
        <v>114</v>
      </c>
      <c r="CA113" s="183" t="s">
        <v>114</v>
      </c>
    </row>
    <row r="114" spans="2:79" x14ac:dyDescent="0.25">
      <c r="B114" s="287">
        <v>43891</v>
      </c>
      <c r="C114" s="165">
        <f t="shared" si="88"/>
        <v>31</v>
      </c>
      <c r="D114" s="288">
        <v>30.45</v>
      </c>
      <c r="E114" s="289">
        <v>1.3960300000000001</v>
      </c>
      <c r="F114" s="288">
        <v>-7.95</v>
      </c>
      <c r="G114" s="172">
        <v>1.0116138020000001</v>
      </c>
      <c r="H114" s="288">
        <f t="shared" si="99"/>
        <v>22.615151933572488</v>
      </c>
      <c r="I114" s="288">
        <f t="shared" si="100"/>
        <v>198.67490818925</v>
      </c>
      <c r="J114" s="288">
        <f t="shared" si="89"/>
        <v>197.66329438725001</v>
      </c>
      <c r="K114" s="171">
        <f t="shared" si="90"/>
        <v>0.73891625615763545</v>
      </c>
      <c r="L114" s="172">
        <f t="shared" si="119"/>
        <v>6.33</v>
      </c>
      <c r="M114" s="288">
        <v>-1.62</v>
      </c>
      <c r="N114" s="290">
        <f t="shared" si="91"/>
        <v>27.286969670481856</v>
      </c>
      <c r="O114" s="288">
        <f t="shared" si="92"/>
        <v>239.716991951663</v>
      </c>
      <c r="P114" s="290">
        <f t="shared" si="93"/>
        <v>253.272567874863</v>
      </c>
      <c r="Q114" s="291"/>
      <c r="R114" s="292"/>
      <c r="S114" s="291"/>
      <c r="T114" s="288">
        <f t="shared" si="95"/>
        <v>253.94874914754504</v>
      </c>
      <c r="U114" s="293">
        <f t="shared" si="96"/>
        <v>267.50432507074504</v>
      </c>
      <c r="V114" s="291"/>
      <c r="W114" s="292"/>
      <c r="X114" s="294">
        <v>-13.555575923199999</v>
      </c>
      <c r="Y114" s="295">
        <v>0.35</v>
      </c>
      <c r="Z114" s="296"/>
      <c r="AA114" s="290">
        <v>-17.61</v>
      </c>
      <c r="AB114" s="288">
        <f t="shared" si="102"/>
        <v>112.7450117157246</v>
      </c>
      <c r="AC114" s="319">
        <f t="shared" si="103"/>
        <v>12.84</v>
      </c>
      <c r="AD114" s="319"/>
      <c r="AE114" s="278">
        <v>106.26</v>
      </c>
      <c r="AF114" s="279">
        <v>7.5</v>
      </c>
      <c r="AG114" s="288">
        <f t="shared" si="85"/>
        <v>9.66</v>
      </c>
      <c r="AH114" s="291"/>
      <c r="AI114" s="297"/>
      <c r="AJ114" s="171">
        <f t="shared" si="118"/>
        <v>0.48859999999999998</v>
      </c>
      <c r="AK114" s="290">
        <v>14.87787</v>
      </c>
      <c r="AL114" s="190">
        <f t="shared" si="87"/>
        <v>130.70261322956603</v>
      </c>
      <c r="AM114" s="190"/>
      <c r="AN114" s="292"/>
      <c r="AO114" s="298"/>
      <c r="AP114" s="290">
        <v>-7.88</v>
      </c>
      <c r="AQ114" s="288">
        <f t="shared" si="117"/>
        <v>7.0000000000000284E-2</v>
      </c>
      <c r="AR114" s="284">
        <v>0</v>
      </c>
      <c r="AS114" s="200">
        <v>0</v>
      </c>
      <c r="AT114" s="278">
        <f t="shared" si="104"/>
        <v>30.449999999999996</v>
      </c>
      <c r="AU114" s="278">
        <f t="shared" si="105"/>
        <v>267.50432507074498</v>
      </c>
      <c r="AV114" s="278">
        <f t="shared" si="106"/>
        <v>267.50432507074498</v>
      </c>
      <c r="AW114" s="198"/>
      <c r="AX114" s="284">
        <v>0</v>
      </c>
      <c r="AY114" s="200">
        <v>0</v>
      </c>
      <c r="AZ114" s="278">
        <f t="shared" si="107"/>
        <v>30.449999999999996</v>
      </c>
      <c r="BA114" s="278">
        <f t="shared" si="108"/>
        <v>267.50432507074498</v>
      </c>
      <c r="BB114" s="278">
        <f t="shared" si="109"/>
        <v>267.50432507074498</v>
      </c>
      <c r="BC114" s="198"/>
      <c r="BD114" s="284">
        <v>0</v>
      </c>
      <c r="BE114" s="200">
        <v>0</v>
      </c>
      <c r="BF114" s="278">
        <f t="shared" si="110"/>
        <v>30.449999999999996</v>
      </c>
      <c r="BG114" s="278">
        <f t="shared" si="111"/>
        <v>267.50432507074498</v>
      </c>
      <c r="BH114" s="278">
        <f t="shared" si="112"/>
        <v>267.50432507074498</v>
      </c>
      <c r="BI114" s="198"/>
      <c r="BJ114" s="284">
        <v>0</v>
      </c>
      <c r="BK114" s="200">
        <v>0</v>
      </c>
      <c r="BL114" s="278">
        <f t="shared" si="113"/>
        <v>30.449999999999996</v>
      </c>
      <c r="BM114" s="278">
        <f t="shared" si="114"/>
        <v>267.50432507074498</v>
      </c>
      <c r="BN114" s="278">
        <f t="shared" si="115"/>
        <v>267.50432507074498</v>
      </c>
      <c r="BO114" s="198"/>
      <c r="BP114" s="342">
        <f t="shared" si="98"/>
        <v>-17.36</v>
      </c>
      <c r="BQ114" s="284"/>
      <c r="BR114" s="284"/>
      <c r="BS114" s="285" t="s">
        <v>114</v>
      </c>
      <c r="BT114" s="183" t="s">
        <v>114</v>
      </c>
      <c r="BU114" s="183" t="s">
        <v>114</v>
      </c>
      <c r="BV114" s="299"/>
      <c r="BW114" s="284"/>
      <c r="BX114" s="284"/>
      <c r="BY114" s="285" t="s">
        <v>114</v>
      </c>
      <c r="BZ114" s="183" t="s">
        <v>114</v>
      </c>
      <c r="CA114" s="183" t="s">
        <v>114</v>
      </c>
    </row>
    <row r="115" spans="2:79" x14ac:dyDescent="0.25">
      <c r="B115" s="287">
        <v>43922</v>
      </c>
      <c r="C115" s="165">
        <f t="shared" si="88"/>
        <v>30</v>
      </c>
      <c r="D115" s="288">
        <v>16.7</v>
      </c>
      <c r="E115" s="289">
        <v>1.40541</v>
      </c>
      <c r="F115" s="288">
        <v>-3.02</v>
      </c>
      <c r="G115" s="172">
        <v>-1.2651772561000001</v>
      </c>
      <c r="H115" s="288">
        <f t="shared" si="99"/>
        <v>13.536946141370453</v>
      </c>
      <c r="I115" s="288">
        <f t="shared" si="100"/>
        <v>119.72159674115599</v>
      </c>
      <c r="J115" s="288">
        <f t="shared" si="89"/>
        <v>120.98677399725599</v>
      </c>
      <c r="K115" s="171">
        <f t="shared" si="90"/>
        <v>0.81916167664670658</v>
      </c>
      <c r="L115" s="172">
        <f t="shared" si="119"/>
        <v>5.13</v>
      </c>
      <c r="M115" s="288">
        <v>2.11</v>
      </c>
      <c r="N115" s="290">
        <f t="shared" si="91"/>
        <v>18.060560284175516</v>
      </c>
      <c r="O115" s="288">
        <f t="shared" si="92"/>
        <v>159.72872261442697</v>
      </c>
      <c r="P115" s="290">
        <f t="shared" si="93"/>
        <v>166.35681424622697</v>
      </c>
      <c r="Q115" s="291"/>
      <c r="R115" s="292"/>
      <c r="S115" s="291"/>
      <c r="T115" s="288">
        <f t="shared" si="95"/>
        <v>141.06775089408998</v>
      </c>
      <c r="U115" s="293">
        <f t="shared" si="96"/>
        <v>147.69584252588999</v>
      </c>
      <c r="V115" s="291"/>
      <c r="W115" s="292"/>
      <c r="X115" s="294">
        <v>-6.6280916318000003</v>
      </c>
      <c r="Y115" s="295">
        <v>1.35</v>
      </c>
      <c r="Z115" s="296"/>
      <c r="AA115" s="290">
        <v>-13.2</v>
      </c>
      <c r="AB115" s="288">
        <f t="shared" si="102"/>
        <v>30.939169011817501</v>
      </c>
      <c r="AC115" s="319">
        <f t="shared" si="103"/>
        <v>3.5</v>
      </c>
      <c r="AD115" s="319"/>
      <c r="AE115" s="278">
        <v>21.36</v>
      </c>
      <c r="AF115" s="279">
        <v>8</v>
      </c>
      <c r="AG115" s="288">
        <f t="shared" si="85"/>
        <v>10.18</v>
      </c>
      <c r="AH115" s="291"/>
      <c r="AI115" s="297"/>
      <c r="AJ115" s="171">
        <f t="shared" si="118"/>
        <v>0.63495355316830293</v>
      </c>
      <c r="AK115" s="290">
        <v>10.603724337910659</v>
      </c>
      <c r="AL115" s="190">
        <f t="shared" si="87"/>
        <v>93.78</v>
      </c>
      <c r="AM115" s="190"/>
      <c r="AN115" s="292"/>
      <c r="AO115" s="298"/>
      <c r="AP115" s="290">
        <v>-4.03</v>
      </c>
      <c r="AQ115" s="288">
        <f t="shared" si="117"/>
        <v>-1.0100000000000002</v>
      </c>
      <c r="AR115" s="284">
        <v>0</v>
      </c>
      <c r="AS115" s="200">
        <v>0</v>
      </c>
      <c r="AT115" s="278">
        <f t="shared" si="104"/>
        <v>16.699999999999996</v>
      </c>
      <c r="AU115" s="278">
        <f t="shared" si="105"/>
        <v>147.69584252588999</v>
      </c>
      <c r="AV115" s="278">
        <f t="shared" si="106"/>
        <v>147.69584252588999</v>
      </c>
      <c r="AW115" s="198"/>
      <c r="AX115" s="284">
        <v>0</v>
      </c>
      <c r="AY115" s="200">
        <v>0</v>
      </c>
      <c r="AZ115" s="278">
        <f t="shared" si="107"/>
        <v>16.699999999999996</v>
      </c>
      <c r="BA115" s="278">
        <f t="shared" si="108"/>
        <v>147.69584252588999</v>
      </c>
      <c r="BB115" s="278">
        <f t="shared" si="109"/>
        <v>147.69584252588999</v>
      </c>
      <c r="BC115" s="198"/>
      <c r="BD115" s="284">
        <v>0</v>
      </c>
      <c r="BE115" s="200">
        <v>0</v>
      </c>
      <c r="BF115" s="278">
        <f t="shared" si="110"/>
        <v>16.699999999999996</v>
      </c>
      <c r="BG115" s="278">
        <f t="shared" si="111"/>
        <v>147.69584252588999</v>
      </c>
      <c r="BH115" s="278">
        <f t="shared" si="112"/>
        <v>147.69584252588999</v>
      </c>
      <c r="BI115" s="198"/>
      <c r="BJ115" s="284">
        <v>0</v>
      </c>
      <c r="BK115" s="200">
        <v>0</v>
      </c>
      <c r="BL115" s="278">
        <f t="shared" si="113"/>
        <v>16.699999999999996</v>
      </c>
      <c r="BM115" s="278">
        <f t="shared" si="114"/>
        <v>147.69584252588999</v>
      </c>
      <c r="BN115" s="278">
        <f t="shared" si="115"/>
        <v>147.69584252588999</v>
      </c>
      <c r="BO115" s="198"/>
      <c r="BP115" s="342">
        <f t="shared" si="98"/>
        <v>-12.95</v>
      </c>
      <c r="BQ115" s="284"/>
      <c r="BR115" s="284"/>
      <c r="BS115" s="285" t="s">
        <v>114</v>
      </c>
      <c r="BT115" s="183" t="s">
        <v>114</v>
      </c>
      <c r="BU115" s="183" t="s">
        <v>114</v>
      </c>
      <c r="BV115" s="299"/>
      <c r="BW115" s="284"/>
      <c r="BX115" s="284"/>
      <c r="BY115" s="285" t="s">
        <v>114</v>
      </c>
      <c r="BZ115" s="183" t="s">
        <v>114</v>
      </c>
      <c r="CA115" s="183" t="s">
        <v>114</v>
      </c>
    </row>
    <row r="116" spans="2:79" x14ac:dyDescent="0.25">
      <c r="B116" s="287">
        <v>43952</v>
      </c>
      <c r="C116" s="165">
        <f t="shared" si="88"/>
        <v>31</v>
      </c>
      <c r="D116" s="288">
        <v>28.53</v>
      </c>
      <c r="E116" s="289">
        <v>1.3973599999999999</v>
      </c>
      <c r="F116" s="288">
        <v>-14.47</v>
      </c>
      <c r="G116" s="172">
        <v>-1.8301998477999999</v>
      </c>
      <c r="H116" s="288">
        <f t="shared" si="99"/>
        <v>13.851866758713154</v>
      </c>
      <c r="I116" s="288">
        <f t="shared" si="100"/>
        <v>121.80507196639199</v>
      </c>
      <c r="J116" s="288">
        <f t="shared" si="89"/>
        <v>123.635271814192</v>
      </c>
      <c r="K116" s="171">
        <f t="shared" si="90"/>
        <v>0.49281458114265686</v>
      </c>
      <c r="L116" s="172">
        <f t="shared" si="119"/>
        <v>-1.67</v>
      </c>
      <c r="M116" s="288">
        <v>-16.14</v>
      </c>
      <c r="N116" s="290">
        <f t="shared" si="91"/>
        <v>11.490932754973176</v>
      </c>
      <c r="O116" s="288">
        <f t="shared" si="92"/>
        <v>101.04442351064799</v>
      </c>
      <c r="P116" s="290">
        <f t="shared" si="93"/>
        <v>108.95028575944799</v>
      </c>
      <c r="Q116" s="291"/>
      <c r="R116" s="292"/>
      <c r="S116" s="291"/>
      <c r="T116" s="288">
        <f t="shared" si="95"/>
        <v>242.96997735709598</v>
      </c>
      <c r="U116" s="293">
        <f t="shared" si="96"/>
        <v>250.87583960589598</v>
      </c>
      <c r="V116" s="291"/>
      <c r="W116" s="292"/>
      <c r="X116" s="294">
        <v>-7.9058622488000001</v>
      </c>
      <c r="Y116" s="295">
        <v>0.02</v>
      </c>
      <c r="Z116" s="296"/>
      <c r="AA116" s="290">
        <v>-16.86</v>
      </c>
      <c r="AB116" s="288">
        <f t="shared" si="102"/>
        <v>102.56914243526761</v>
      </c>
      <c r="AC116" s="319">
        <f t="shared" si="103"/>
        <v>11.670000000000002</v>
      </c>
      <c r="AD116" s="319"/>
      <c r="AE116" s="278">
        <v>89.46</v>
      </c>
      <c r="AF116" s="279">
        <v>10.53</v>
      </c>
      <c r="AG116" s="288">
        <f t="shared" ref="AG116:AG179" si="120">F116-AA116</f>
        <v>2.3899999999999988</v>
      </c>
      <c r="AH116" s="291"/>
      <c r="AI116" s="297"/>
      <c r="AJ116" s="171">
        <f t="shared" si="118"/>
        <v>0.62060000000000004</v>
      </c>
      <c r="AK116" s="290">
        <v>17.705718000000001</v>
      </c>
      <c r="AL116" s="190">
        <f t="shared" si="87"/>
        <v>155.69354605941905</v>
      </c>
      <c r="AM116" s="190"/>
      <c r="AN116" s="292"/>
      <c r="AO116" s="298"/>
      <c r="AP116" s="290">
        <v>-11.77</v>
      </c>
      <c r="AQ116" s="288">
        <f t="shared" si="117"/>
        <v>2.7000000000000011</v>
      </c>
      <c r="AR116" s="284">
        <v>0</v>
      </c>
      <c r="AS116" s="200">
        <v>0</v>
      </c>
      <c r="AT116" s="278">
        <f t="shared" si="104"/>
        <v>28.53</v>
      </c>
      <c r="AU116" s="278">
        <f t="shared" si="105"/>
        <v>250.875839605896</v>
      </c>
      <c r="AV116" s="278">
        <f t="shared" si="106"/>
        <v>250.875839605896</v>
      </c>
      <c r="AW116" s="198"/>
      <c r="AX116" s="284">
        <v>0</v>
      </c>
      <c r="AY116" s="200">
        <v>0</v>
      </c>
      <c r="AZ116" s="278">
        <f t="shared" si="107"/>
        <v>28.53</v>
      </c>
      <c r="BA116" s="278">
        <f t="shared" si="108"/>
        <v>250.875839605896</v>
      </c>
      <c r="BB116" s="278">
        <f t="shared" si="109"/>
        <v>250.875839605896</v>
      </c>
      <c r="BC116" s="198"/>
      <c r="BD116" s="284">
        <v>0</v>
      </c>
      <c r="BE116" s="200">
        <v>0</v>
      </c>
      <c r="BF116" s="278">
        <f t="shared" si="110"/>
        <v>28.53</v>
      </c>
      <c r="BG116" s="278">
        <f t="shared" si="111"/>
        <v>250.875839605896</v>
      </c>
      <c r="BH116" s="278">
        <f t="shared" si="112"/>
        <v>250.875839605896</v>
      </c>
      <c r="BI116" s="198"/>
      <c r="BJ116" s="284">
        <v>0</v>
      </c>
      <c r="BK116" s="200">
        <v>0</v>
      </c>
      <c r="BL116" s="278">
        <f t="shared" si="113"/>
        <v>28.53</v>
      </c>
      <c r="BM116" s="278">
        <f t="shared" si="114"/>
        <v>250.875839605896</v>
      </c>
      <c r="BN116" s="278">
        <f t="shared" si="115"/>
        <v>250.875839605896</v>
      </c>
      <c r="BO116" s="198"/>
      <c r="BP116" s="342">
        <f t="shared" si="98"/>
        <v>-16.61</v>
      </c>
      <c r="BQ116" s="284"/>
      <c r="BR116" s="284"/>
      <c r="BS116" s="285" t="s">
        <v>114</v>
      </c>
      <c r="BT116" s="183" t="s">
        <v>114</v>
      </c>
      <c r="BU116" s="183" t="s">
        <v>114</v>
      </c>
      <c r="BV116" s="299"/>
      <c r="BW116" s="284"/>
      <c r="BX116" s="284"/>
      <c r="BY116" s="285" t="s">
        <v>114</v>
      </c>
      <c r="BZ116" s="183" t="s">
        <v>114</v>
      </c>
      <c r="CA116" s="183" t="s">
        <v>114</v>
      </c>
    </row>
    <row r="117" spans="2:79" x14ac:dyDescent="0.25">
      <c r="B117" s="287">
        <v>43983</v>
      </c>
      <c r="C117" s="165">
        <f t="shared" si="88"/>
        <v>30</v>
      </c>
      <c r="D117" s="288">
        <v>38.31</v>
      </c>
      <c r="E117" s="289">
        <v>1.3553200000000001</v>
      </c>
      <c r="F117" s="288">
        <v>-0.92</v>
      </c>
      <c r="G117" s="172">
        <v>-2.5520948784000002</v>
      </c>
      <c r="H117" s="288">
        <f t="shared" si="99"/>
        <v>37.090769258474971</v>
      </c>
      <c r="I117" s="288">
        <f t="shared" si="100"/>
        <v>316.34170265407602</v>
      </c>
      <c r="J117" s="288">
        <f t="shared" si="89"/>
        <v>318.89379753247601</v>
      </c>
      <c r="K117" s="171">
        <f t="shared" si="90"/>
        <v>0.97598538240668231</v>
      </c>
      <c r="L117" s="172">
        <f t="shared" si="119"/>
        <v>-1.7000000000000002</v>
      </c>
      <c r="M117" s="288">
        <v>-2.62</v>
      </c>
      <c r="N117" s="290">
        <f t="shared" si="91"/>
        <v>35.714879339043364</v>
      </c>
      <c r="O117" s="288">
        <f t="shared" si="92"/>
        <v>304.60694038089605</v>
      </c>
      <c r="P117" s="290">
        <f t="shared" si="93"/>
        <v>304.39474816619605</v>
      </c>
      <c r="Q117" s="291"/>
      <c r="R117" s="292"/>
      <c r="S117" s="291"/>
      <c r="T117" s="288">
        <f t="shared" si="95"/>
        <v>326.95253411010401</v>
      </c>
      <c r="U117" s="293">
        <f t="shared" si="96"/>
        <v>326.74034189540401</v>
      </c>
      <c r="V117" s="291"/>
      <c r="W117" s="292"/>
      <c r="X117" s="294">
        <v>0.21219221469999999</v>
      </c>
      <c r="Y117" s="295">
        <v>0.08</v>
      </c>
      <c r="Z117" s="296"/>
      <c r="AA117" s="290">
        <v>-4.34</v>
      </c>
      <c r="AB117" s="288">
        <f t="shared" si="102"/>
        <v>289.58426169423421</v>
      </c>
      <c r="AC117" s="319">
        <f t="shared" si="103"/>
        <v>33.97</v>
      </c>
      <c r="AD117" s="319"/>
      <c r="AE117" s="278">
        <v>282.48</v>
      </c>
      <c r="AF117" s="279">
        <v>14</v>
      </c>
      <c r="AG117" s="288">
        <f t="shared" si="120"/>
        <v>3.42</v>
      </c>
      <c r="AH117" s="291"/>
      <c r="AI117" s="297"/>
      <c r="AJ117" s="171">
        <f t="shared" si="118"/>
        <v>0.57999999999999996</v>
      </c>
      <c r="AK117" s="290">
        <v>22.219799999999999</v>
      </c>
      <c r="AL117" s="190">
        <f t="shared" si="87"/>
        <v>189.50939829933432</v>
      </c>
      <c r="AM117" s="190"/>
      <c r="AN117" s="292"/>
      <c r="AO117" s="298"/>
      <c r="AP117" s="290">
        <v>-1.61</v>
      </c>
      <c r="AQ117" s="288">
        <f t="shared" si="117"/>
        <v>-0.69000000000000006</v>
      </c>
      <c r="AR117" s="284">
        <v>0</v>
      </c>
      <c r="AS117" s="200">
        <v>0</v>
      </c>
      <c r="AT117" s="278">
        <f t="shared" si="104"/>
        <v>38.31</v>
      </c>
      <c r="AU117" s="278">
        <f t="shared" si="105"/>
        <v>326.74034189540401</v>
      </c>
      <c r="AV117" s="278">
        <f t="shared" si="106"/>
        <v>326.74034189540401</v>
      </c>
      <c r="AW117" s="198"/>
      <c r="AX117" s="284">
        <v>0</v>
      </c>
      <c r="AY117" s="200">
        <v>0</v>
      </c>
      <c r="AZ117" s="278">
        <f t="shared" si="107"/>
        <v>38.31</v>
      </c>
      <c r="BA117" s="278">
        <f t="shared" si="108"/>
        <v>326.74034189540401</v>
      </c>
      <c r="BB117" s="278">
        <f t="shared" si="109"/>
        <v>326.74034189540401</v>
      </c>
      <c r="BC117" s="198"/>
      <c r="BD117" s="284">
        <v>0</v>
      </c>
      <c r="BE117" s="200">
        <v>0</v>
      </c>
      <c r="BF117" s="278">
        <f t="shared" si="110"/>
        <v>38.31</v>
      </c>
      <c r="BG117" s="278">
        <f t="shared" si="111"/>
        <v>326.74034189540401</v>
      </c>
      <c r="BH117" s="278">
        <f t="shared" si="112"/>
        <v>326.74034189540401</v>
      </c>
      <c r="BI117" s="198"/>
      <c r="BJ117" s="284">
        <v>0</v>
      </c>
      <c r="BK117" s="200">
        <v>0</v>
      </c>
      <c r="BL117" s="278">
        <f t="shared" si="113"/>
        <v>38.31</v>
      </c>
      <c r="BM117" s="278">
        <f t="shared" si="114"/>
        <v>326.74034189540401</v>
      </c>
      <c r="BN117" s="278">
        <f t="shared" si="115"/>
        <v>326.74034189540401</v>
      </c>
      <c r="BO117" s="198"/>
      <c r="BP117" s="342">
        <f t="shared" si="98"/>
        <v>-4.09</v>
      </c>
      <c r="BQ117" s="284"/>
      <c r="BR117" s="284"/>
      <c r="BS117" s="285" t="s">
        <v>114</v>
      </c>
      <c r="BT117" s="183" t="s">
        <v>114</v>
      </c>
      <c r="BU117" s="183" t="s">
        <v>114</v>
      </c>
      <c r="BV117" s="299"/>
      <c r="BW117" s="284"/>
      <c r="BX117" s="284"/>
      <c r="BY117" s="285" t="s">
        <v>114</v>
      </c>
      <c r="BZ117" s="183" t="s">
        <v>114</v>
      </c>
      <c r="CA117" s="183" t="s">
        <v>114</v>
      </c>
    </row>
    <row r="118" spans="2:79" x14ac:dyDescent="0.25">
      <c r="B118" s="287">
        <v>44013</v>
      </c>
      <c r="C118" s="165">
        <f t="shared" si="88"/>
        <v>31</v>
      </c>
      <c r="D118" s="288">
        <v>40.770000000000003</v>
      </c>
      <c r="E118" s="289">
        <v>1.34972</v>
      </c>
      <c r="F118" s="288">
        <v>-2.61</v>
      </c>
      <c r="G118" s="172">
        <v>-2.0279783914</v>
      </c>
      <c r="H118" s="288">
        <f t="shared" si="99"/>
        <v>37.9212348818292</v>
      </c>
      <c r="I118" s="288">
        <f t="shared" si="100"/>
        <v>322.08827447122405</v>
      </c>
      <c r="J118" s="288">
        <f t="shared" si="89"/>
        <v>324.11625286262404</v>
      </c>
      <c r="K118" s="171">
        <f t="shared" si="90"/>
        <v>0.9359823399558499</v>
      </c>
      <c r="L118" s="172">
        <f t="shared" si="119"/>
        <v>-0.89000000000000012</v>
      </c>
      <c r="M118" s="288">
        <v>-3.5</v>
      </c>
      <c r="N118" s="290">
        <f t="shared" si="91"/>
        <v>37.169896288668653</v>
      </c>
      <c r="O118" s="288">
        <f t="shared" si="92"/>
        <v>315.70669560732802</v>
      </c>
      <c r="P118" s="290">
        <f t="shared" si="93"/>
        <v>316.556937740828</v>
      </c>
      <c r="Q118" s="291"/>
      <c r="R118" s="292"/>
      <c r="S118" s="291"/>
      <c r="T118" s="288">
        <f t="shared" si="95"/>
        <v>345.43433934472802</v>
      </c>
      <c r="U118" s="293">
        <f t="shared" si="96"/>
        <v>346.28458147822801</v>
      </c>
      <c r="V118" s="291"/>
      <c r="W118" s="292"/>
      <c r="X118" s="294">
        <v>-0.8502421335</v>
      </c>
      <c r="Y118" s="295">
        <v>0.16</v>
      </c>
      <c r="Z118" s="296"/>
      <c r="AA118" s="290">
        <v>-8.27</v>
      </c>
      <c r="AB118" s="288">
        <f t="shared" si="102"/>
        <v>275.90819841195002</v>
      </c>
      <c r="AC118" s="319">
        <f t="shared" si="103"/>
        <v>32.5</v>
      </c>
      <c r="AD118" s="319"/>
      <c r="AE118" s="278">
        <v>267.44</v>
      </c>
      <c r="AF118" s="279">
        <v>16.52</v>
      </c>
      <c r="AG118" s="288">
        <f t="shared" si="120"/>
        <v>5.66</v>
      </c>
      <c r="AH118" s="291"/>
      <c r="AI118" s="297"/>
      <c r="AJ118" s="171">
        <f t="shared" si="118"/>
        <v>0.56306289805819432</v>
      </c>
      <c r="AK118" s="290">
        <v>22.956074353832584</v>
      </c>
      <c r="AL118" s="190">
        <f t="shared" si="87"/>
        <v>194.98</v>
      </c>
      <c r="AM118" s="190"/>
      <c r="AN118" s="292"/>
      <c r="AO118" s="298"/>
      <c r="AP118" s="290">
        <v>-3.16</v>
      </c>
      <c r="AQ118" s="288">
        <f t="shared" si="117"/>
        <v>-0.55000000000000027</v>
      </c>
      <c r="AR118" s="284">
        <v>0</v>
      </c>
      <c r="AS118" s="200">
        <v>0</v>
      </c>
      <c r="AT118" s="278">
        <f t="shared" si="104"/>
        <v>40.770000000000003</v>
      </c>
      <c r="AU118" s="278">
        <f t="shared" si="105"/>
        <v>346.28458147822801</v>
      </c>
      <c r="AV118" s="278">
        <f t="shared" si="106"/>
        <v>346.28458147822801</v>
      </c>
      <c r="AW118" s="198"/>
      <c r="AX118" s="284">
        <v>0</v>
      </c>
      <c r="AY118" s="200">
        <v>0</v>
      </c>
      <c r="AZ118" s="278">
        <f t="shared" si="107"/>
        <v>40.770000000000003</v>
      </c>
      <c r="BA118" s="278">
        <f t="shared" si="108"/>
        <v>346.28458147822801</v>
      </c>
      <c r="BB118" s="278">
        <f t="shared" si="109"/>
        <v>346.28458147822801</v>
      </c>
      <c r="BC118" s="198"/>
      <c r="BD118" s="284">
        <v>0</v>
      </c>
      <c r="BE118" s="200">
        <v>0</v>
      </c>
      <c r="BF118" s="278">
        <f t="shared" si="110"/>
        <v>40.770000000000003</v>
      </c>
      <c r="BG118" s="278">
        <f t="shared" si="111"/>
        <v>346.28458147822801</v>
      </c>
      <c r="BH118" s="278">
        <f t="shared" si="112"/>
        <v>346.28458147822801</v>
      </c>
      <c r="BI118" s="198"/>
      <c r="BJ118" s="284">
        <v>0</v>
      </c>
      <c r="BK118" s="200">
        <v>0</v>
      </c>
      <c r="BL118" s="278">
        <f t="shared" si="113"/>
        <v>40.770000000000003</v>
      </c>
      <c r="BM118" s="278">
        <f t="shared" si="114"/>
        <v>346.28458147822801</v>
      </c>
      <c r="BN118" s="278">
        <f t="shared" si="115"/>
        <v>346.28458147822801</v>
      </c>
      <c r="BO118" s="198"/>
      <c r="BP118" s="342">
        <f t="shared" si="98"/>
        <v>-8.02</v>
      </c>
      <c r="BQ118" s="284"/>
      <c r="BR118" s="284"/>
      <c r="BS118" s="285" t="s">
        <v>114</v>
      </c>
      <c r="BT118" s="183" t="s">
        <v>114</v>
      </c>
      <c r="BU118" s="183" t="s">
        <v>114</v>
      </c>
      <c r="BV118" s="299"/>
      <c r="BW118" s="284"/>
      <c r="BX118" s="284"/>
      <c r="BY118" s="285" t="s">
        <v>114</v>
      </c>
      <c r="BZ118" s="183" t="s">
        <v>114</v>
      </c>
      <c r="CA118" s="183" t="s">
        <v>114</v>
      </c>
    </row>
    <row r="119" spans="2:79" x14ac:dyDescent="0.25">
      <c r="B119" s="287">
        <v>44044</v>
      </c>
      <c r="C119" s="165">
        <f t="shared" si="88"/>
        <v>31</v>
      </c>
      <c r="D119" s="288">
        <v>42.39</v>
      </c>
      <c r="E119" s="289">
        <v>1.3221099999999999</v>
      </c>
      <c r="F119" s="288">
        <v>-4.09</v>
      </c>
      <c r="G119" s="172">
        <v>-1.8601975732</v>
      </c>
      <c r="H119" s="288">
        <f t="shared" si="99"/>
        <v>38.07641496946335</v>
      </c>
      <c r="I119" s="288">
        <f t="shared" si="100"/>
        <v>316.79068385010993</v>
      </c>
      <c r="J119" s="288">
        <f t="shared" si="89"/>
        <v>318.65088142330995</v>
      </c>
      <c r="K119" s="171">
        <f t="shared" si="90"/>
        <v>0.90351497994810093</v>
      </c>
      <c r="L119" s="172">
        <f t="shared" si="119"/>
        <v>-0.21999999999999975</v>
      </c>
      <c r="M119" s="288">
        <v>-4.3099999999999996</v>
      </c>
      <c r="N119" s="290">
        <f t="shared" si="91"/>
        <v>37.832197318375492</v>
      </c>
      <c r="O119" s="288">
        <f t="shared" si="92"/>
        <v>314.75882563135599</v>
      </c>
      <c r="P119" s="290">
        <f t="shared" si="93"/>
        <v>316.82051082505598</v>
      </c>
      <c r="Q119" s="291"/>
      <c r="R119" s="292"/>
      <c r="S119" s="291"/>
      <c r="T119" s="288">
        <f t="shared" si="95"/>
        <v>350.61744962442293</v>
      </c>
      <c r="U119" s="293">
        <f t="shared" si="96"/>
        <v>352.67913481812292</v>
      </c>
      <c r="V119" s="291"/>
      <c r="W119" s="292"/>
      <c r="X119" s="294">
        <v>-2.0616851936999998</v>
      </c>
      <c r="Y119" s="295">
        <v>0.1</v>
      </c>
      <c r="Z119" s="296"/>
      <c r="AA119" s="290">
        <v>-7.79</v>
      </c>
      <c r="AB119" s="288">
        <f t="shared" si="102"/>
        <v>287.72741906136298</v>
      </c>
      <c r="AC119" s="319">
        <f t="shared" si="103"/>
        <v>34.6</v>
      </c>
      <c r="AD119" s="319"/>
      <c r="AE119" s="278">
        <v>283.27</v>
      </c>
      <c r="AF119" s="279">
        <v>18.260000000000002</v>
      </c>
      <c r="AG119" s="288">
        <f t="shared" si="120"/>
        <v>3.7</v>
      </c>
      <c r="AH119" s="291"/>
      <c r="AI119" s="297"/>
      <c r="AJ119" s="171">
        <f t="shared" si="118"/>
        <v>0.54755153037218107</v>
      </c>
      <c r="AK119" s="290">
        <v>23.210709372476757</v>
      </c>
      <c r="AL119" s="190">
        <f t="shared" si="87"/>
        <v>193.11</v>
      </c>
      <c r="AM119" s="190"/>
      <c r="AN119" s="292"/>
      <c r="AO119" s="298"/>
      <c r="AP119" s="290">
        <v>-4.82</v>
      </c>
      <c r="AQ119" s="288">
        <f t="shared" si="117"/>
        <v>-0.73000000000000043</v>
      </c>
      <c r="AR119" s="284">
        <v>0</v>
      </c>
      <c r="AS119" s="200">
        <v>0</v>
      </c>
      <c r="AT119" s="278">
        <f t="shared" si="104"/>
        <v>42.390000000000008</v>
      </c>
      <c r="AU119" s="278">
        <f t="shared" si="105"/>
        <v>352.67913481812298</v>
      </c>
      <c r="AV119" s="278">
        <f t="shared" si="106"/>
        <v>352.67913481812298</v>
      </c>
      <c r="AW119" s="198"/>
      <c r="AX119" s="284">
        <v>0</v>
      </c>
      <c r="AY119" s="200">
        <v>0</v>
      </c>
      <c r="AZ119" s="278">
        <f t="shared" si="107"/>
        <v>42.390000000000008</v>
      </c>
      <c r="BA119" s="278">
        <f t="shared" si="108"/>
        <v>352.67913481812298</v>
      </c>
      <c r="BB119" s="278">
        <f t="shared" si="109"/>
        <v>352.67913481812298</v>
      </c>
      <c r="BC119" s="198"/>
      <c r="BD119" s="284">
        <v>0</v>
      </c>
      <c r="BE119" s="200">
        <v>0</v>
      </c>
      <c r="BF119" s="278">
        <f t="shared" si="110"/>
        <v>42.390000000000008</v>
      </c>
      <c r="BG119" s="278">
        <f t="shared" si="111"/>
        <v>352.67913481812298</v>
      </c>
      <c r="BH119" s="278">
        <f t="shared" si="112"/>
        <v>352.67913481812298</v>
      </c>
      <c r="BI119" s="198"/>
      <c r="BJ119" s="284">
        <v>0</v>
      </c>
      <c r="BK119" s="200">
        <v>0</v>
      </c>
      <c r="BL119" s="278">
        <f t="shared" si="113"/>
        <v>42.390000000000008</v>
      </c>
      <c r="BM119" s="278">
        <f t="shared" si="114"/>
        <v>352.67913481812298</v>
      </c>
      <c r="BN119" s="278">
        <f t="shared" si="115"/>
        <v>352.67913481812298</v>
      </c>
      <c r="BO119" s="198"/>
      <c r="BP119" s="342">
        <f t="shared" si="98"/>
        <v>-7.54</v>
      </c>
      <c r="BQ119" s="284"/>
      <c r="BR119" s="284"/>
      <c r="BS119" s="285" t="s">
        <v>114</v>
      </c>
      <c r="BT119" s="183" t="s">
        <v>114</v>
      </c>
      <c r="BU119" s="183" t="s">
        <v>114</v>
      </c>
      <c r="BV119" s="299"/>
      <c r="BW119" s="284"/>
      <c r="BX119" s="284"/>
      <c r="BY119" s="285" t="s">
        <v>114</v>
      </c>
      <c r="BZ119" s="183" t="s">
        <v>114</v>
      </c>
      <c r="CA119" s="183" t="s">
        <v>114</v>
      </c>
    </row>
    <row r="120" spans="2:79" x14ac:dyDescent="0.25">
      <c r="B120" s="287">
        <v>44075</v>
      </c>
      <c r="C120" s="165">
        <f t="shared" si="88"/>
        <v>30</v>
      </c>
      <c r="D120" s="288">
        <v>39.630000000000003</v>
      </c>
      <c r="E120" s="289">
        <v>1.3230500000000001</v>
      </c>
      <c r="F120" s="288">
        <v>-3.83</v>
      </c>
      <c r="G120" s="172">
        <v>-1.6642396873</v>
      </c>
      <c r="H120" s="288">
        <f t="shared" si="99"/>
        <v>35.600110096978064</v>
      </c>
      <c r="I120" s="288">
        <f t="shared" si="100"/>
        <v>296.39874350800005</v>
      </c>
      <c r="J120" s="288">
        <f t="shared" si="89"/>
        <v>298.06298319530003</v>
      </c>
      <c r="K120" s="171">
        <f t="shared" si="90"/>
        <v>0.90335604340146358</v>
      </c>
      <c r="L120" s="172">
        <f t="shared" si="119"/>
        <v>1.4900000000000002</v>
      </c>
      <c r="M120" s="288">
        <v>-2.34</v>
      </c>
      <c r="N120" s="290">
        <f t="shared" si="91"/>
        <v>37.156793466949289</v>
      </c>
      <c r="O120" s="288">
        <f t="shared" si="92"/>
        <v>309.35934935001507</v>
      </c>
      <c r="P120" s="290">
        <f t="shared" si="93"/>
        <v>310.46839785901506</v>
      </c>
      <c r="Q120" s="291"/>
      <c r="R120" s="292"/>
      <c r="S120" s="291"/>
      <c r="T120" s="288">
        <f t="shared" si="95"/>
        <v>328.84167841920504</v>
      </c>
      <c r="U120" s="293">
        <f t="shared" si="96"/>
        <v>329.95072692820503</v>
      </c>
      <c r="V120" s="291"/>
      <c r="W120" s="292"/>
      <c r="X120" s="294">
        <v>-1.109048509</v>
      </c>
      <c r="Y120" s="295">
        <v>0.2</v>
      </c>
      <c r="Z120" s="296"/>
      <c r="AA120" s="290">
        <v>-11.2</v>
      </c>
      <c r="AB120" s="288">
        <f t="shared" si="102"/>
        <v>236.58689142297078</v>
      </c>
      <c r="AC120" s="319">
        <f t="shared" si="103"/>
        <v>28.430000000000003</v>
      </c>
      <c r="AD120" s="319"/>
      <c r="AE120" s="278">
        <v>230.62</v>
      </c>
      <c r="AF120" s="279">
        <v>17.75</v>
      </c>
      <c r="AG120" s="288">
        <f t="shared" si="120"/>
        <v>7.3699999999999992</v>
      </c>
      <c r="AH120" s="291"/>
      <c r="AI120" s="297"/>
      <c r="AJ120" s="171">
        <f t="shared" si="118"/>
        <v>0.53723173047765571</v>
      </c>
      <c r="AK120" s="290">
        <v>21.290493478829497</v>
      </c>
      <c r="AL120" s="190">
        <f t="shared" si="87"/>
        <v>177.26000000000002</v>
      </c>
      <c r="AM120" s="190"/>
      <c r="AN120" s="292"/>
      <c r="AO120" s="298"/>
      <c r="AP120" s="290">
        <v>-4.1100000000000003</v>
      </c>
      <c r="AQ120" s="288">
        <f t="shared" si="117"/>
        <v>-0.28000000000000025</v>
      </c>
      <c r="AR120" s="284">
        <v>0</v>
      </c>
      <c r="AS120" s="200">
        <v>0</v>
      </c>
      <c r="AT120" s="278">
        <f t="shared" si="104"/>
        <v>39.630000000000003</v>
      </c>
      <c r="AU120" s="278">
        <f t="shared" si="105"/>
        <v>329.95072692820503</v>
      </c>
      <c r="AV120" s="278">
        <f t="shared" si="106"/>
        <v>329.95072692820503</v>
      </c>
      <c r="AW120" s="198"/>
      <c r="AX120" s="284">
        <v>0</v>
      </c>
      <c r="AY120" s="200">
        <v>0</v>
      </c>
      <c r="AZ120" s="278">
        <f t="shared" si="107"/>
        <v>39.630000000000003</v>
      </c>
      <c r="BA120" s="278">
        <f t="shared" si="108"/>
        <v>329.95072692820503</v>
      </c>
      <c r="BB120" s="278">
        <f t="shared" si="109"/>
        <v>329.95072692820503</v>
      </c>
      <c r="BC120" s="198"/>
      <c r="BD120" s="284">
        <v>0</v>
      </c>
      <c r="BE120" s="200">
        <v>0</v>
      </c>
      <c r="BF120" s="278">
        <f t="shared" si="110"/>
        <v>39.630000000000003</v>
      </c>
      <c r="BG120" s="278">
        <f t="shared" si="111"/>
        <v>329.95072692820503</v>
      </c>
      <c r="BH120" s="278">
        <f t="shared" si="112"/>
        <v>329.95072692820503</v>
      </c>
      <c r="BI120" s="198"/>
      <c r="BJ120" s="284">
        <v>0</v>
      </c>
      <c r="BK120" s="200">
        <v>0</v>
      </c>
      <c r="BL120" s="278">
        <f t="shared" si="113"/>
        <v>39.630000000000003</v>
      </c>
      <c r="BM120" s="278">
        <f t="shared" si="114"/>
        <v>329.95072692820503</v>
      </c>
      <c r="BN120" s="278">
        <f t="shared" si="115"/>
        <v>329.95072692820503</v>
      </c>
      <c r="BO120" s="198"/>
      <c r="BP120" s="342">
        <f t="shared" si="98"/>
        <v>-10.95</v>
      </c>
      <c r="BQ120" s="284"/>
      <c r="BR120" s="284"/>
      <c r="BS120" s="285" t="s">
        <v>114</v>
      </c>
      <c r="BT120" s="183" t="s">
        <v>114</v>
      </c>
      <c r="BU120" s="183" t="s">
        <v>114</v>
      </c>
      <c r="BV120" s="299"/>
      <c r="BW120" s="284"/>
      <c r="BX120" s="284"/>
      <c r="BY120" s="285" t="s">
        <v>114</v>
      </c>
      <c r="BZ120" s="183" t="s">
        <v>114</v>
      </c>
      <c r="CA120" s="183" t="s">
        <v>114</v>
      </c>
    </row>
    <row r="121" spans="2:79" x14ac:dyDescent="0.25">
      <c r="B121" s="287">
        <v>44105</v>
      </c>
      <c r="C121" s="165">
        <f t="shared" si="88"/>
        <v>31</v>
      </c>
      <c r="D121" s="288">
        <v>39.549999999999997</v>
      </c>
      <c r="E121" s="289">
        <v>1.3218799999999999</v>
      </c>
      <c r="F121" s="288">
        <v>-3.73</v>
      </c>
      <c r="G121" s="172">
        <v>-1.8391819451</v>
      </c>
      <c r="H121" s="288">
        <f t="shared" si="99"/>
        <v>35.598902463788754</v>
      </c>
      <c r="I121" s="288">
        <f t="shared" si="100"/>
        <v>296.12658647729199</v>
      </c>
      <c r="J121" s="288">
        <f t="shared" si="89"/>
        <v>297.96576842239199</v>
      </c>
      <c r="K121" s="171">
        <f t="shared" si="90"/>
        <v>0.90568900126422258</v>
      </c>
      <c r="L121" s="172">
        <f t="shared" si="119"/>
        <v>2.3200000000000003</v>
      </c>
      <c r="M121" s="288">
        <v>-1.41</v>
      </c>
      <c r="N121" s="290">
        <f t="shared" si="91"/>
        <v>37.703552056139465</v>
      </c>
      <c r="O121" s="288">
        <f t="shared" si="92"/>
        <v>313.63394362538395</v>
      </c>
      <c r="P121" s="290">
        <f t="shared" si="93"/>
        <v>317.26450049218397</v>
      </c>
      <c r="Q121" s="291"/>
      <c r="R121" s="292"/>
      <c r="S121" s="291"/>
      <c r="T121" s="288">
        <f t="shared" si="95"/>
        <v>325.36291440917995</v>
      </c>
      <c r="U121" s="293">
        <f t="shared" si="96"/>
        <v>328.99347127597997</v>
      </c>
      <c r="V121" s="291"/>
      <c r="W121" s="292"/>
      <c r="X121" s="294">
        <v>-3.6305568668000001</v>
      </c>
      <c r="Y121" s="295">
        <v>0.15</v>
      </c>
      <c r="Z121" s="296"/>
      <c r="AA121" s="290">
        <v>-8.3800000000000008</v>
      </c>
      <c r="AB121" s="288">
        <f t="shared" si="102"/>
        <v>259.15905951557573</v>
      </c>
      <c r="AC121" s="319">
        <f t="shared" si="103"/>
        <v>31.169999999999995</v>
      </c>
      <c r="AD121" s="319"/>
      <c r="AE121" s="278">
        <v>254.94</v>
      </c>
      <c r="AF121" s="279">
        <v>14.729999999999999</v>
      </c>
      <c r="AG121" s="288">
        <f t="shared" si="120"/>
        <v>4.6500000000000004</v>
      </c>
      <c r="AH121" s="291"/>
      <c r="AI121" s="297"/>
      <c r="AJ121" s="171">
        <f t="shared" si="118"/>
        <v>0.56587749075369698</v>
      </c>
      <c r="AK121" s="290">
        <v>22.380454759308712</v>
      </c>
      <c r="AL121" s="190">
        <f t="shared" si="87"/>
        <v>186.17</v>
      </c>
      <c r="AM121" s="190"/>
      <c r="AN121" s="292"/>
      <c r="AO121" s="298"/>
      <c r="AP121" s="290">
        <v>-3.84</v>
      </c>
      <c r="AQ121" s="288">
        <f t="shared" si="117"/>
        <v>-0.10999999999999988</v>
      </c>
      <c r="AR121" s="284">
        <v>0</v>
      </c>
      <c r="AS121" s="200">
        <v>0</v>
      </c>
      <c r="AT121" s="278">
        <f t="shared" si="104"/>
        <v>39.54999999999999</v>
      </c>
      <c r="AU121" s="278">
        <f t="shared" si="105"/>
        <v>328.99347127597991</v>
      </c>
      <c r="AV121" s="278">
        <f t="shared" si="106"/>
        <v>328.99347127597991</v>
      </c>
      <c r="AW121" s="198"/>
      <c r="AX121" s="284">
        <v>0</v>
      </c>
      <c r="AY121" s="200">
        <v>0</v>
      </c>
      <c r="AZ121" s="278">
        <f t="shared" si="107"/>
        <v>39.54999999999999</v>
      </c>
      <c r="BA121" s="278">
        <f t="shared" si="108"/>
        <v>328.99347127597991</v>
      </c>
      <c r="BB121" s="278">
        <f t="shared" si="109"/>
        <v>328.99347127597991</v>
      </c>
      <c r="BC121" s="198"/>
      <c r="BD121" s="284">
        <v>0</v>
      </c>
      <c r="BE121" s="200">
        <v>0</v>
      </c>
      <c r="BF121" s="278">
        <f t="shared" si="110"/>
        <v>39.54999999999999</v>
      </c>
      <c r="BG121" s="278">
        <f t="shared" si="111"/>
        <v>328.99347127597991</v>
      </c>
      <c r="BH121" s="278">
        <f t="shared" si="112"/>
        <v>328.99347127597991</v>
      </c>
      <c r="BI121" s="198"/>
      <c r="BJ121" s="284">
        <v>0</v>
      </c>
      <c r="BK121" s="200">
        <v>0</v>
      </c>
      <c r="BL121" s="278">
        <f t="shared" si="113"/>
        <v>39.54999999999999</v>
      </c>
      <c r="BM121" s="278">
        <f t="shared" si="114"/>
        <v>328.99347127597991</v>
      </c>
      <c r="BN121" s="278">
        <f t="shared" si="115"/>
        <v>328.99347127597991</v>
      </c>
      <c r="BO121" s="198"/>
      <c r="BP121" s="342">
        <f t="shared" si="98"/>
        <v>-8.1300000000000008</v>
      </c>
      <c r="BQ121" s="284"/>
      <c r="BR121" s="284"/>
      <c r="BS121" s="285" t="s">
        <v>114</v>
      </c>
      <c r="BT121" s="183" t="s">
        <v>114</v>
      </c>
      <c r="BU121" s="183" t="s">
        <v>114</v>
      </c>
      <c r="BV121" s="299"/>
      <c r="BW121" s="284"/>
      <c r="BX121" s="284"/>
      <c r="BY121" s="285" t="s">
        <v>114</v>
      </c>
      <c r="BZ121" s="183" t="s">
        <v>114</v>
      </c>
      <c r="CA121" s="183" t="s">
        <v>114</v>
      </c>
    </row>
    <row r="122" spans="2:79" x14ac:dyDescent="0.25">
      <c r="B122" s="287">
        <v>44136</v>
      </c>
      <c r="C122" s="165">
        <f t="shared" si="88"/>
        <v>30</v>
      </c>
      <c r="D122" s="288">
        <v>41.35</v>
      </c>
      <c r="E122" s="289">
        <v>1.30664</v>
      </c>
      <c r="F122" s="288">
        <v>-3.91</v>
      </c>
      <c r="G122" s="172">
        <v>-1.5145786771</v>
      </c>
      <c r="H122" s="288">
        <f t="shared" si="99"/>
        <v>37.25580105890738</v>
      </c>
      <c r="I122" s="288">
        <f t="shared" si="100"/>
        <v>306.33640751349196</v>
      </c>
      <c r="J122" s="288">
        <f t="shared" si="89"/>
        <v>307.85098619059198</v>
      </c>
      <c r="K122" s="171">
        <f t="shared" si="90"/>
        <v>0.90544135429262385</v>
      </c>
      <c r="L122" s="172">
        <f t="shared" si="119"/>
        <v>4.6100000000000003</v>
      </c>
      <c r="M122" s="288">
        <v>0.7</v>
      </c>
      <c r="N122" s="290">
        <f t="shared" si="91"/>
        <v>41.898685201800603</v>
      </c>
      <c r="O122" s="288">
        <f t="shared" si="92"/>
        <v>344.51259507113997</v>
      </c>
      <c r="P122" s="290">
        <f t="shared" si="93"/>
        <v>345.75678336843998</v>
      </c>
      <c r="Q122" s="291"/>
      <c r="R122" s="292"/>
      <c r="S122" s="291"/>
      <c r="T122" s="288">
        <f t="shared" si="95"/>
        <v>338.75683411137999</v>
      </c>
      <c r="U122" s="293">
        <f t="shared" si="96"/>
        <v>340.00102240868</v>
      </c>
      <c r="V122" s="291"/>
      <c r="W122" s="292"/>
      <c r="X122" s="294">
        <v>-1.2441882973</v>
      </c>
      <c r="Y122" s="295">
        <v>0.23</v>
      </c>
      <c r="Z122" s="296"/>
      <c r="AA122" s="290">
        <v>-9.7799999999999994</v>
      </c>
      <c r="AB122" s="288">
        <f t="shared" si="102"/>
        <v>259.45861299860042</v>
      </c>
      <c r="AC122" s="319">
        <f t="shared" si="103"/>
        <v>31.57</v>
      </c>
      <c r="AD122" s="319"/>
      <c r="AE122" s="278">
        <v>252.76</v>
      </c>
      <c r="AF122" s="279">
        <v>11.5</v>
      </c>
      <c r="AG122" s="288">
        <f t="shared" si="120"/>
        <v>5.8699999999999992</v>
      </c>
      <c r="AH122" s="291"/>
      <c r="AI122" s="297"/>
      <c r="AJ122" s="171">
        <f t="shared" si="118"/>
        <v>0.57726297000390836</v>
      </c>
      <c r="AK122" s="290">
        <v>23.869823809661611</v>
      </c>
      <c r="AL122" s="190">
        <f t="shared" si="87"/>
        <v>196.27000000000004</v>
      </c>
      <c r="AM122" s="190"/>
      <c r="AN122" s="292"/>
      <c r="AO122" s="298"/>
      <c r="AP122" s="290">
        <v>-4.43</v>
      </c>
      <c r="AQ122" s="288">
        <f t="shared" si="117"/>
        <v>-0.51999999999999957</v>
      </c>
      <c r="AR122" s="284">
        <v>0</v>
      </c>
      <c r="AS122" s="200">
        <v>0</v>
      </c>
      <c r="AT122" s="278">
        <f t="shared" si="104"/>
        <v>41.349999999999994</v>
      </c>
      <c r="AU122" s="278">
        <f t="shared" si="105"/>
        <v>340.00102240868</v>
      </c>
      <c r="AV122" s="278">
        <f t="shared" si="106"/>
        <v>340.00102240868</v>
      </c>
      <c r="AW122" s="198"/>
      <c r="AX122" s="284">
        <v>0</v>
      </c>
      <c r="AY122" s="200">
        <v>0</v>
      </c>
      <c r="AZ122" s="278">
        <f t="shared" si="107"/>
        <v>41.349999999999994</v>
      </c>
      <c r="BA122" s="278">
        <f t="shared" si="108"/>
        <v>340.00102240868</v>
      </c>
      <c r="BB122" s="278">
        <f t="shared" si="109"/>
        <v>340.00102240868</v>
      </c>
      <c r="BC122" s="198"/>
      <c r="BD122" s="284">
        <v>0</v>
      </c>
      <c r="BE122" s="200">
        <v>0</v>
      </c>
      <c r="BF122" s="278">
        <f t="shared" si="110"/>
        <v>41.349999999999994</v>
      </c>
      <c r="BG122" s="278">
        <f t="shared" si="111"/>
        <v>340.00102240868</v>
      </c>
      <c r="BH122" s="278">
        <f t="shared" si="112"/>
        <v>340.00102240868</v>
      </c>
      <c r="BI122" s="198"/>
      <c r="BJ122" s="284">
        <v>0</v>
      </c>
      <c r="BK122" s="200">
        <v>0</v>
      </c>
      <c r="BL122" s="278">
        <f t="shared" si="113"/>
        <v>41.349999999999994</v>
      </c>
      <c r="BM122" s="278">
        <f t="shared" si="114"/>
        <v>340.00102240868</v>
      </c>
      <c r="BN122" s="278">
        <f t="shared" si="115"/>
        <v>340.00102240868</v>
      </c>
      <c r="BO122" s="198"/>
      <c r="BP122" s="342">
        <f t="shared" si="98"/>
        <v>-9.5299999999999994</v>
      </c>
      <c r="BQ122" s="284"/>
      <c r="BR122" s="284"/>
      <c r="BS122" s="285" t="s">
        <v>114</v>
      </c>
      <c r="BT122" s="183" t="s">
        <v>114</v>
      </c>
      <c r="BU122" s="183" t="s">
        <v>114</v>
      </c>
      <c r="BV122" s="299"/>
      <c r="BW122" s="284"/>
      <c r="BX122" s="284"/>
      <c r="BY122" s="285" t="s">
        <v>114</v>
      </c>
      <c r="BZ122" s="183" t="s">
        <v>114</v>
      </c>
      <c r="CA122" s="183" t="s">
        <v>114</v>
      </c>
    </row>
    <row r="123" spans="2:79" x14ac:dyDescent="0.25">
      <c r="B123" s="300">
        <v>44166</v>
      </c>
      <c r="C123" s="203">
        <f t="shared" si="88"/>
        <v>31</v>
      </c>
      <c r="D123" s="301">
        <v>47.07</v>
      </c>
      <c r="E123" s="302">
        <v>1.2807999999999999</v>
      </c>
      <c r="F123" s="301">
        <v>-4.57</v>
      </c>
      <c r="G123" s="210">
        <v>-1.4023951233</v>
      </c>
      <c r="H123" s="301">
        <f t="shared" si="99"/>
        <v>42.326003579520318</v>
      </c>
      <c r="I123" s="301">
        <f t="shared" si="100"/>
        <v>341.14369045670003</v>
      </c>
      <c r="J123" s="301">
        <f t="shared" si="89"/>
        <v>342.54608558000001</v>
      </c>
      <c r="K123" s="209">
        <f t="shared" si="90"/>
        <v>0.90291055874229875</v>
      </c>
      <c r="L123" s="210">
        <f t="shared" si="119"/>
        <v>4.9300000000000006</v>
      </c>
      <c r="M123" s="301">
        <v>0.36</v>
      </c>
      <c r="N123" s="303">
        <f t="shared" si="91"/>
        <v>47.289852816424791</v>
      </c>
      <c r="O123" s="301">
        <f t="shared" si="92"/>
        <v>381.15185811577993</v>
      </c>
      <c r="P123" s="303">
        <f t="shared" si="93"/>
        <v>382.28143150727993</v>
      </c>
      <c r="Q123" s="304"/>
      <c r="R123" s="305"/>
      <c r="S123" s="304"/>
      <c r="T123" s="301">
        <f t="shared" si="95"/>
        <v>378.25029127322</v>
      </c>
      <c r="U123" s="303">
        <f t="shared" si="96"/>
        <v>379.37986466472</v>
      </c>
      <c r="V123" s="304"/>
      <c r="W123" s="305"/>
      <c r="X123" s="306">
        <v>-1.1295733914999999</v>
      </c>
      <c r="Y123" s="307">
        <v>0.22</v>
      </c>
      <c r="Z123" s="308"/>
      <c r="AA123" s="303">
        <v>-9.75</v>
      </c>
      <c r="AB123" s="301">
        <f t="shared" si="102"/>
        <v>300.64952024308798</v>
      </c>
      <c r="AC123" s="320">
        <f t="shared" si="103"/>
        <v>37.32</v>
      </c>
      <c r="AD123" s="320"/>
      <c r="AE123" s="312">
        <v>293.77</v>
      </c>
      <c r="AF123" s="321">
        <v>8.98</v>
      </c>
      <c r="AG123" s="301">
        <f t="shared" si="120"/>
        <v>5.18</v>
      </c>
      <c r="AH123" s="304"/>
      <c r="AI123" s="309"/>
      <c r="AJ123" s="209">
        <f t="shared" si="118"/>
        <v>0.55772596204333202</v>
      </c>
      <c r="AK123" s="303">
        <v>26.25216103337964</v>
      </c>
      <c r="AL123" s="228">
        <f t="shared" si="87"/>
        <v>211.59000000000006</v>
      </c>
      <c r="AM123" s="228"/>
      <c r="AN123" s="305"/>
      <c r="AO123" s="310"/>
      <c r="AP123" s="303">
        <v>-4.74</v>
      </c>
      <c r="AQ123" s="301">
        <f t="shared" si="117"/>
        <v>-0.16999999999999993</v>
      </c>
      <c r="AR123" s="311">
        <v>0</v>
      </c>
      <c r="AS123" s="238">
        <v>0</v>
      </c>
      <c r="AT123" s="312">
        <f t="shared" si="104"/>
        <v>47.070000000000007</v>
      </c>
      <c r="AU123" s="312">
        <f t="shared" si="105"/>
        <v>379.37986466472</v>
      </c>
      <c r="AV123" s="312">
        <f t="shared" si="106"/>
        <v>379.37986466472</v>
      </c>
      <c r="AW123" s="236"/>
      <c r="AX123" s="311">
        <v>0</v>
      </c>
      <c r="AY123" s="238">
        <v>0</v>
      </c>
      <c r="AZ123" s="312">
        <f t="shared" si="107"/>
        <v>47.070000000000007</v>
      </c>
      <c r="BA123" s="312">
        <f t="shared" si="108"/>
        <v>379.37986466472</v>
      </c>
      <c r="BB123" s="312">
        <f t="shared" si="109"/>
        <v>379.37986466472</v>
      </c>
      <c r="BC123" s="236"/>
      <c r="BD123" s="311">
        <v>0</v>
      </c>
      <c r="BE123" s="238">
        <v>0</v>
      </c>
      <c r="BF123" s="312">
        <f t="shared" si="110"/>
        <v>47.070000000000007</v>
      </c>
      <c r="BG123" s="312">
        <f t="shared" si="111"/>
        <v>379.37986466472</v>
      </c>
      <c r="BH123" s="312">
        <f t="shared" si="112"/>
        <v>379.37986466472</v>
      </c>
      <c r="BI123" s="236"/>
      <c r="BJ123" s="311">
        <v>0</v>
      </c>
      <c r="BK123" s="238">
        <v>0</v>
      </c>
      <c r="BL123" s="312">
        <f t="shared" si="113"/>
        <v>47.070000000000007</v>
      </c>
      <c r="BM123" s="312">
        <f t="shared" si="114"/>
        <v>379.37986466472</v>
      </c>
      <c r="BN123" s="312">
        <f t="shared" si="115"/>
        <v>379.37986466472</v>
      </c>
      <c r="BO123" s="236"/>
      <c r="BP123" s="344">
        <f t="shared" si="98"/>
        <v>-9.5</v>
      </c>
      <c r="BQ123" s="311"/>
      <c r="BR123" s="311"/>
      <c r="BS123" s="313" t="s">
        <v>114</v>
      </c>
      <c r="BT123" s="221" t="s">
        <v>114</v>
      </c>
      <c r="BU123" s="221" t="s">
        <v>114</v>
      </c>
      <c r="BV123" s="314"/>
      <c r="BW123" s="311"/>
      <c r="BX123" s="311"/>
      <c r="BY123" s="313" t="s">
        <v>114</v>
      </c>
      <c r="BZ123" s="221" t="s">
        <v>114</v>
      </c>
      <c r="CA123" s="221" t="s">
        <v>114</v>
      </c>
    </row>
    <row r="124" spans="2:79" x14ac:dyDescent="0.25">
      <c r="B124" s="322">
        <v>44197</v>
      </c>
      <c r="C124" s="126">
        <f t="shared" si="88"/>
        <v>31</v>
      </c>
      <c r="D124" s="323">
        <v>52.1</v>
      </c>
      <c r="E124" s="324">
        <v>1.2722899999999999</v>
      </c>
      <c r="F124" s="323">
        <v>-5.78</v>
      </c>
      <c r="G124" s="133">
        <v>-1.5021419627000001</v>
      </c>
      <c r="H124" s="323">
        <f t="shared" si="99"/>
        <v>46.132381307682984</v>
      </c>
      <c r="I124" s="323">
        <f t="shared" si="100"/>
        <v>369.35224814623598</v>
      </c>
      <c r="J124" s="323">
        <f t="shared" si="89"/>
        <v>370.854390108936</v>
      </c>
      <c r="K124" s="132">
        <f t="shared" si="90"/>
        <v>0.88905950095969288</v>
      </c>
      <c r="L124" s="133">
        <f t="shared" si="119"/>
        <v>5.46</v>
      </c>
      <c r="M124" s="323">
        <v>-0.32</v>
      </c>
      <c r="N124" s="325">
        <f t="shared" si="91"/>
        <v>51.332418926758898</v>
      </c>
      <c r="O124" s="323">
        <f t="shared" si="92"/>
        <v>410.985598313894</v>
      </c>
      <c r="P124" s="325">
        <f t="shared" si="93"/>
        <v>414.56909153369401</v>
      </c>
      <c r="Q124" s="317"/>
      <c r="R124" s="326"/>
      <c r="S124" s="317"/>
      <c r="T124" s="323">
        <f t="shared" si="95"/>
        <v>413.54763209702998</v>
      </c>
      <c r="U124" s="325">
        <f t="shared" si="96"/>
        <v>417.13112531682998</v>
      </c>
      <c r="V124" s="317"/>
      <c r="W124" s="326"/>
      <c r="X124" s="327">
        <v>-3.5834932197999998</v>
      </c>
      <c r="Y124" s="328">
        <v>0.24</v>
      </c>
      <c r="Z124" s="329"/>
      <c r="AA124" s="325">
        <v>-12.06</v>
      </c>
      <c r="AB124" s="323">
        <f t="shared" si="102"/>
        <v>320.41861856184175</v>
      </c>
      <c r="AC124" s="315">
        <f t="shared" si="103"/>
        <v>40.04</v>
      </c>
      <c r="AD124" s="315"/>
      <c r="AE124" s="316">
        <v>311.74</v>
      </c>
      <c r="AF124" s="605">
        <v>7.7399999999999993</v>
      </c>
      <c r="AG124" s="323">
        <f t="shared" si="120"/>
        <v>6.28</v>
      </c>
      <c r="AH124" s="317"/>
      <c r="AI124" s="330"/>
      <c r="AJ124" s="132">
        <f t="shared" si="118"/>
        <v>0.52033997663238563</v>
      </c>
      <c r="AK124" s="325">
        <v>27.109712782547291</v>
      </c>
      <c r="AL124" s="151">
        <f t="shared" si="87"/>
        <v>217.05000000000004</v>
      </c>
      <c r="AM124" s="151"/>
      <c r="AN124" s="326"/>
      <c r="AO124" s="331"/>
      <c r="AP124" s="325">
        <v>-5.64</v>
      </c>
      <c r="AQ124" s="323">
        <f t="shared" si="117"/>
        <v>0.14000000000000057</v>
      </c>
      <c r="AR124" s="318">
        <v>0</v>
      </c>
      <c r="AS124" s="161">
        <v>0</v>
      </c>
      <c r="AT124" s="316">
        <f t="shared" si="104"/>
        <v>52.1</v>
      </c>
      <c r="AU124" s="316">
        <f t="shared" si="105"/>
        <v>417.13112531682992</v>
      </c>
      <c r="AV124" s="316">
        <f t="shared" si="106"/>
        <v>417.13112531682992</v>
      </c>
      <c r="AW124" s="159"/>
      <c r="AX124" s="318">
        <v>0</v>
      </c>
      <c r="AY124" s="161">
        <v>0</v>
      </c>
      <c r="AZ124" s="316">
        <f t="shared" si="107"/>
        <v>52.1</v>
      </c>
      <c r="BA124" s="316">
        <f t="shared" si="108"/>
        <v>417.13112531682992</v>
      </c>
      <c r="BB124" s="316">
        <f t="shared" si="109"/>
        <v>417.13112531682992</v>
      </c>
      <c r="BC124" s="159"/>
      <c r="BD124" s="318">
        <v>0</v>
      </c>
      <c r="BE124" s="161">
        <v>0</v>
      </c>
      <c r="BF124" s="316">
        <f t="shared" si="110"/>
        <v>52.1</v>
      </c>
      <c r="BG124" s="316">
        <f t="shared" si="111"/>
        <v>417.13112531682992</v>
      </c>
      <c r="BH124" s="316">
        <f t="shared" si="112"/>
        <v>417.13112531682992</v>
      </c>
      <c r="BI124" s="159"/>
      <c r="BJ124" s="318">
        <v>0</v>
      </c>
      <c r="BK124" s="161">
        <v>0</v>
      </c>
      <c r="BL124" s="316">
        <f t="shared" si="113"/>
        <v>52.1</v>
      </c>
      <c r="BM124" s="316">
        <f t="shared" si="114"/>
        <v>417.13112531682992</v>
      </c>
      <c r="BN124" s="316">
        <f t="shared" si="115"/>
        <v>417.13112531682992</v>
      </c>
      <c r="BO124" s="159"/>
      <c r="BP124" s="349">
        <f t="shared" si="98"/>
        <v>-11.81</v>
      </c>
      <c r="BQ124" s="318"/>
      <c r="BR124" s="318"/>
      <c r="BS124" s="267" t="s">
        <v>114</v>
      </c>
      <c r="BT124" s="145" t="s">
        <v>114</v>
      </c>
      <c r="BU124" s="145" t="s">
        <v>114</v>
      </c>
      <c r="BV124" s="332"/>
      <c r="BW124" s="318"/>
      <c r="BX124" s="318"/>
      <c r="BY124" s="267" t="s">
        <v>114</v>
      </c>
      <c r="BZ124" s="145" t="s">
        <v>114</v>
      </c>
      <c r="CA124" s="145" t="s">
        <v>114</v>
      </c>
    </row>
    <row r="125" spans="2:79" x14ac:dyDescent="0.25">
      <c r="B125" s="287">
        <v>44228</v>
      </c>
      <c r="C125" s="165">
        <v>28</v>
      </c>
      <c r="D125" s="288">
        <v>59.06</v>
      </c>
      <c r="E125" s="289">
        <v>1.26973</v>
      </c>
      <c r="F125" s="288">
        <v>-5.68</v>
      </c>
      <c r="G125" s="172">
        <v>0.15200254499999999</v>
      </c>
      <c r="H125" s="288">
        <f t="shared" si="99"/>
        <v>53.399023512959083</v>
      </c>
      <c r="I125" s="288">
        <f t="shared" si="100"/>
        <v>426.67132468883801</v>
      </c>
      <c r="J125" s="288">
        <f t="shared" si="89"/>
        <v>426.519322143838</v>
      </c>
      <c r="K125" s="171">
        <f t="shared" si="90"/>
        <v>0.90382661699966138</v>
      </c>
      <c r="L125" s="172">
        <f t="shared" si="119"/>
        <v>6.1499999999999995</v>
      </c>
      <c r="M125" s="288">
        <v>0.47</v>
      </c>
      <c r="N125" s="290">
        <f t="shared" si="91"/>
        <v>59.282439774357599</v>
      </c>
      <c r="O125" s="288">
        <f t="shared" si="92"/>
        <v>473.68126690880297</v>
      </c>
      <c r="P125" s="290">
        <f t="shared" si="93"/>
        <v>475.65933396820299</v>
      </c>
      <c r="Q125" s="291"/>
      <c r="R125" s="292"/>
      <c r="S125" s="291"/>
      <c r="T125" s="288">
        <f t="shared" si="95"/>
        <v>469.92585137100599</v>
      </c>
      <c r="U125" s="293">
        <f t="shared" si="96"/>
        <v>471.90391843040601</v>
      </c>
      <c r="V125" s="291"/>
      <c r="W125" s="292"/>
      <c r="X125" s="294">
        <v>-1.9780670594</v>
      </c>
      <c r="Y125" s="333">
        <v>0.3</v>
      </c>
      <c r="Z125" s="296"/>
      <c r="AA125" s="290">
        <v>-13.93</v>
      </c>
      <c r="AB125" s="288">
        <f t="shared" si="102"/>
        <v>360.42447581862649</v>
      </c>
      <c r="AC125" s="319">
        <f t="shared" si="103"/>
        <v>45.13</v>
      </c>
      <c r="AD125" s="319"/>
      <c r="AE125" s="278">
        <v>351.65</v>
      </c>
      <c r="AF125" s="606">
        <v>7.5</v>
      </c>
      <c r="AG125" s="288">
        <f t="shared" si="120"/>
        <v>8.25</v>
      </c>
      <c r="AH125" s="291"/>
      <c r="AI125" s="297"/>
      <c r="AJ125" s="171">
        <f t="shared" si="118"/>
        <v>0.56863270153068957</v>
      </c>
      <c r="AK125" s="290">
        <v>33.58344735240253</v>
      </c>
      <c r="AL125" s="190">
        <f t="shared" si="87"/>
        <v>268.33999999999997</v>
      </c>
      <c r="AM125" s="190"/>
      <c r="AN125" s="292"/>
      <c r="AO125" s="298"/>
      <c r="AP125" s="290">
        <v>-5.32</v>
      </c>
      <c r="AQ125" s="288">
        <f t="shared" si="117"/>
        <v>0.35999999999999943</v>
      </c>
      <c r="AR125" s="284">
        <v>0</v>
      </c>
      <c r="AS125" s="200">
        <v>0</v>
      </c>
      <c r="AT125" s="278">
        <f t="shared" si="104"/>
        <v>59.06</v>
      </c>
      <c r="AU125" s="278">
        <f t="shared" si="105"/>
        <v>471.90391843040601</v>
      </c>
      <c r="AV125" s="278">
        <f t="shared" si="106"/>
        <v>471.90391843040601</v>
      </c>
      <c r="AW125" s="198"/>
      <c r="AX125" s="284">
        <v>0</v>
      </c>
      <c r="AY125" s="200">
        <v>0</v>
      </c>
      <c r="AZ125" s="278">
        <f t="shared" si="107"/>
        <v>59.06</v>
      </c>
      <c r="BA125" s="278">
        <f t="shared" si="108"/>
        <v>471.90391843040601</v>
      </c>
      <c r="BB125" s="278">
        <f t="shared" si="109"/>
        <v>471.90391843040601</v>
      </c>
      <c r="BC125" s="198"/>
      <c r="BD125" s="284">
        <v>0</v>
      </c>
      <c r="BE125" s="200">
        <v>0</v>
      </c>
      <c r="BF125" s="278">
        <f t="shared" si="110"/>
        <v>59.06</v>
      </c>
      <c r="BG125" s="278">
        <f t="shared" si="111"/>
        <v>471.90391843040601</v>
      </c>
      <c r="BH125" s="278">
        <f t="shared" si="112"/>
        <v>471.90391843040601</v>
      </c>
      <c r="BI125" s="198"/>
      <c r="BJ125" s="284">
        <v>0</v>
      </c>
      <c r="BK125" s="200">
        <v>0</v>
      </c>
      <c r="BL125" s="278">
        <f t="shared" si="113"/>
        <v>59.06</v>
      </c>
      <c r="BM125" s="278">
        <f t="shared" si="114"/>
        <v>471.90391843040601</v>
      </c>
      <c r="BN125" s="278">
        <f t="shared" si="115"/>
        <v>471.90391843040601</v>
      </c>
      <c r="BO125" s="198"/>
      <c r="BP125" s="342">
        <f t="shared" si="98"/>
        <v>-13.68</v>
      </c>
      <c r="BQ125" s="284"/>
      <c r="BR125" s="284"/>
      <c r="BS125" s="285" t="s">
        <v>114</v>
      </c>
      <c r="BT125" s="183" t="s">
        <v>114</v>
      </c>
      <c r="BU125" s="183" t="s">
        <v>114</v>
      </c>
      <c r="BV125" s="299"/>
      <c r="BW125" s="284"/>
      <c r="BX125" s="284"/>
      <c r="BY125" s="285" t="s">
        <v>114</v>
      </c>
      <c r="BZ125" s="183" t="s">
        <v>114</v>
      </c>
      <c r="CA125" s="183" t="s">
        <v>114</v>
      </c>
    </row>
    <row r="126" spans="2:79" x14ac:dyDescent="0.25">
      <c r="B126" s="287">
        <v>44256</v>
      </c>
      <c r="C126" s="165">
        <f t="shared" si="88"/>
        <v>31</v>
      </c>
      <c r="D126" s="288">
        <v>62.36</v>
      </c>
      <c r="E126" s="289">
        <v>1.2569900000000001</v>
      </c>
      <c r="F126" s="288">
        <v>-4.26</v>
      </c>
      <c r="G126" s="172">
        <v>-1.1930597447</v>
      </c>
      <c r="H126" s="288">
        <f t="shared" si="99"/>
        <v>57.949172125955137</v>
      </c>
      <c r="I126" s="288">
        <f t="shared" si="100"/>
        <v>458.38227807683</v>
      </c>
      <c r="J126" s="288">
        <f t="shared" si="89"/>
        <v>459.57533782153001</v>
      </c>
      <c r="K126" s="171">
        <f t="shared" si="90"/>
        <v>0.931686978832585</v>
      </c>
      <c r="L126" s="172">
        <f t="shared" si="119"/>
        <v>4.72</v>
      </c>
      <c r="M126" s="288">
        <v>0.46</v>
      </c>
      <c r="N126" s="290">
        <f t="shared" si="91"/>
        <v>62.186835294500639</v>
      </c>
      <c r="O126" s="288">
        <f t="shared" si="92"/>
        <v>491.90251012946607</v>
      </c>
      <c r="P126" s="290">
        <f t="shared" si="93"/>
        <v>496.91089022286604</v>
      </c>
      <c r="Q126" s="291"/>
      <c r="R126" s="292"/>
      <c r="S126" s="291"/>
      <c r="T126" s="288">
        <f t="shared" si="95"/>
        <v>488.26387578526806</v>
      </c>
      <c r="U126" s="293">
        <f t="shared" si="96"/>
        <v>493.27225587866803</v>
      </c>
      <c r="V126" s="291"/>
      <c r="W126" s="292"/>
      <c r="X126" s="294">
        <v>-5.0083800933999996</v>
      </c>
      <c r="Y126" s="333">
        <v>0.25</v>
      </c>
      <c r="Z126" s="296"/>
      <c r="AA126" s="290">
        <v>-11.42</v>
      </c>
      <c r="AB126" s="288">
        <f t="shared" si="102"/>
        <v>402.7433001861213</v>
      </c>
      <c r="AC126" s="319">
        <f t="shared" si="103"/>
        <v>50.94</v>
      </c>
      <c r="AD126" s="319"/>
      <c r="AE126" s="278">
        <v>397.79</v>
      </c>
      <c r="AF126" s="606">
        <v>7.5</v>
      </c>
      <c r="AG126" s="288">
        <f t="shared" si="120"/>
        <v>7.16</v>
      </c>
      <c r="AH126" s="291"/>
      <c r="AI126" s="297"/>
      <c r="AJ126" s="171">
        <f t="shared" si="118"/>
        <v>0.56820548218495692</v>
      </c>
      <c r="AK126" s="290">
        <v>35.433293869053912</v>
      </c>
      <c r="AL126" s="190">
        <f t="shared" si="87"/>
        <v>280.28000000000003</v>
      </c>
      <c r="AM126" s="190"/>
      <c r="AN126" s="292"/>
      <c r="AO126" s="298"/>
      <c r="AP126" s="290">
        <v>-4.0999999999999996</v>
      </c>
      <c r="AQ126" s="288">
        <f t="shared" si="117"/>
        <v>0.16000000000000014</v>
      </c>
      <c r="AR126" s="284">
        <v>0</v>
      </c>
      <c r="AS126" s="200">
        <v>0</v>
      </c>
      <c r="AT126" s="278">
        <f t="shared" si="104"/>
        <v>62.359999999999992</v>
      </c>
      <c r="AU126" s="278">
        <f t="shared" si="105"/>
        <v>493.27225587866798</v>
      </c>
      <c r="AV126" s="278">
        <f t="shared" si="106"/>
        <v>493.27225587866798</v>
      </c>
      <c r="AW126" s="198"/>
      <c r="AX126" s="284">
        <v>0</v>
      </c>
      <c r="AY126" s="200">
        <v>0</v>
      </c>
      <c r="AZ126" s="278">
        <f t="shared" si="107"/>
        <v>62.359999999999992</v>
      </c>
      <c r="BA126" s="278">
        <f t="shared" si="108"/>
        <v>493.27225587866798</v>
      </c>
      <c r="BB126" s="278">
        <f t="shared" si="109"/>
        <v>493.27225587866798</v>
      </c>
      <c r="BC126" s="198"/>
      <c r="BD126" s="284">
        <v>0</v>
      </c>
      <c r="BE126" s="200">
        <v>0</v>
      </c>
      <c r="BF126" s="278">
        <f t="shared" si="110"/>
        <v>62.359999999999992</v>
      </c>
      <c r="BG126" s="278">
        <f t="shared" si="111"/>
        <v>493.27225587866798</v>
      </c>
      <c r="BH126" s="278">
        <f t="shared" si="112"/>
        <v>493.27225587866798</v>
      </c>
      <c r="BI126" s="198"/>
      <c r="BJ126" s="284">
        <v>0</v>
      </c>
      <c r="BK126" s="200">
        <v>0</v>
      </c>
      <c r="BL126" s="278">
        <f t="shared" si="113"/>
        <v>62.359999999999992</v>
      </c>
      <c r="BM126" s="278">
        <f t="shared" si="114"/>
        <v>493.27225587866798</v>
      </c>
      <c r="BN126" s="278">
        <f t="shared" si="115"/>
        <v>493.27225587866798</v>
      </c>
      <c r="BO126" s="198"/>
      <c r="BP126" s="342">
        <f t="shared" si="98"/>
        <v>-11.17</v>
      </c>
      <c r="BQ126" s="284"/>
      <c r="BR126" s="284"/>
      <c r="BS126" s="285" t="s">
        <v>114</v>
      </c>
      <c r="BT126" s="183" t="s">
        <v>114</v>
      </c>
      <c r="BU126" s="183" t="s">
        <v>114</v>
      </c>
      <c r="BV126" s="299"/>
      <c r="BW126" s="284"/>
      <c r="BX126" s="284"/>
      <c r="BY126" s="285" t="s">
        <v>114</v>
      </c>
      <c r="BZ126" s="183" t="s">
        <v>114</v>
      </c>
      <c r="CA126" s="183" t="s">
        <v>114</v>
      </c>
    </row>
    <row r="127" spans="2:79" x14ac:dyDescent="0.25">
      <c r="B127" s="287">
        <v>44287</v>
      </c>
      <c r="C127" s="165">
        <f t="shared" si="88"/>
        <v>30</v>
      </c>
      <c r="D127" s="288">
        <v>61.7</v>
      </c>
      <c r="E127" s="289">
        <v>1.24919</v>
      </c>
      <c r="F127" s="288">
        <v>-2.34</v>
      </c>
      <c r="G127" s="172">
        <v>-1.3456760953</v>
      </c>
      <c r="H127" s="288">
        <f t="shared" si="99"/>
        <v>59.188815957255628</v>
      </c>
      <c r="I127" s="288">
        <f t="shared" si="100"/>
        <v>465.28270664650796</v>
      </c>
      <c r="J127" s="288">
        <f t="shared" si="89"/>
        <v>466.62838274180797</v>
      </c>
      <c r="K127" s="171">
        <f t="shared" si="90"/>
        <v>0.96207455429497568</v>
      </c>
      <c r="L127" s="172">
        <f t="shared" si="119"/>
        <v>4.46</v>
      </c>
      <c r="M127" s="288">
        <v>2.12</v>
      </c>
      <c r="N127" s="290">
        <f t="shared" si="91"/>
        <v>63.329321734194259</v>
      </c>
      <c r="O127" s="288">
        <f t="shared" si="92"/>
        <v>497.83118229384598</v>
      </c>
      <c r="P127" s="290">
        <f t="shared" si="93"/>
        <v>501.68839936964599</v>
      </c>
      <c r="Q127" s="291"/>
      <c r="R127" s="292"/>
      <c r="S127" s="291"/>
      <c r="T127" s="288">
        <f t="shared" si="95"/>
        <v>481.16588291020997</v>
      </c>
      <c r="U127" s="293">
        <f t="shared" si="96"/>
        <v>485.02309998600998</v>
      </c>
      <c r="V127" s="291"/>
      <c r="W127" s="292"/>
      <c r="X127" s="294">
        <v>-3.8572170758</v>
      </c>
      <c r="Y127" s="333">
        <v>0.27</v>
      </c>
      <c r="Z127" s="296"/>
      <c r="AA127" s="290">
        <v>-11.19</v>
      </c>
      <c r="AB127" s="288">
        <f t="shared" si="102"/>
        <v>396.86557479778247</v>
      </c>
      <c r="AC127" s="319">
        <f t="shared" si="103"/>
        <v>50.510000000000005</v>
      </c>
      <c r="AD127" s="319"/>
      <c r="AE127" s="278">
        <v>388.43496058125419</v>
      </c>
      <c r="AF127" s="606">
        <v>8</v>
      </c>
      <c r="AG127" s="288">
        <f t="shared" si="120"/>
        <v>8.85</v>
      </c>
      <c r="AH127" s="291"/>
      <c r="AI127" s="297"/>
      <c r="AJ127" s="171">
        <f t="shared" si="118"/>
        <v>0.52453171819515021</v>
      </c>
      <c r="AK127" s="290">
        <v>32.36360701264077</v>
      </c>
      <c r="AL127" s="190">
        <f t="shared" si="87"/>
        <v>254.40999999999997</v>
      </c>
      <c r="AM127" s="190"/>
      <c r="AN127" s="292"/>
      <c r="AO127" s="298"/>
      <c r="AP127" s="290">
        <v>-2.36</v>
      </c>
      <c r="AQ127" s="288">
        <f t="shared" si="117"/>
        <v>-2.0000000000000018E-2</v>
      </c>
      <c r="AR127" s="284">
        <v>0</v>
      </c>
      <c r="AS127" s="200">
        <v>0</v>
      </c>
      <c r="AT127" s="278">
        <f t="shared" si="104"/>
        <v>61.7</v>
      </c>
      <c r="AU127" s="278">
        <f t="shared" si="105"/>
        <v>485.02309998601004</v>
      </c>
      <c r="AV127" s="278">
        <f t="shared" si="106"/>
        <v>485.02309998601004</v>
      </c>
      <c r="AW127" s="198"/>
      <c r="AX127" s="284">
        <v>0</v>
      </c>
      <c r="AY127" s="200">
        <v>0</v>
      </c>
      <c r="AZ127" s="278">
        <f t="shared" si="107"/>
        <v>61.7</v>
      </c>
      <c r="BA127" s="278">
        <f t="shared" si="108"/>
        <v>485.02309998601004</v>
      </c>
      <c r="BB127" s="278">
        <f t="shared" si="109"/>
        <v>485.02309998601004</v>
      </c>
      <c r="BC127" s="198"/>
      <c r="BD127" s="284">
        <v>0</v>
      </c>
      <c r="BE127" s="200">
        <v>0</v>
      </c>
      <c r="BF127" s="278">
        <f t="shared" si="110"/>
        <v>61.7</v>
      </c>
      <c r="BG127" s="278">
        <f t="shared" si="111"/>
        <v>485.02309998601004</v>
      </c>
      <c r="BH127" s="278">
        <f t="shared" si="112"/>
        <v>485.02309998601004</v>
      </c>
      <c r="BI127" s="198"/>
      <c r="BJ127" s="284">
        <v>0</v>
      </c>
      <c r="BK127" s="200">
        <v>0</v>
      </c>
      <c r="BL127" s="278">
        <f t="shared" si="113"/>
        <v>61.7</v>
      </c>
      <c r="BM127" s="278">
        <f t="shared" si="114"/>
        <v>485.02309998601004</v>
      </c>
      <c r="BN127" s="278">
        <f t="shared" si="115"/>
        <v>485.02309998601004</v>
      </c>
      <c r="BO127" s="198"/>
      <c r="BP127" s="342">
        <f t="shared" si="98"/>
        <v>-10.94</v>
      </c>
      <c r="BQ127" s="284"/>
      <c r="BR127" s="284"/>
      <c r="BS127" s="285" t="s">
        <v>114</v>
      </c>
      <c r="BT127" s="183" t="s">
        <v>114</v>
      </c>
      <c r="BU127" s="183" t="s">
        <v>114</v>
      </c>
      <c r="BV127" s="299"/>
      <c r="BW127" s="284"/>
      <c r="BX127" s="284"/>
      <c r="BY127" s="285" t="s">
        <v>114</v>
      </c>
      <c r="BZ127" s="183" t="s">
        <v>114</v>
      </c>
      <c r="CA127" s="183" t="s">
        <v>114</v>
      </c>
    </row>
    <row r="128" spans="2:79" x14ac:dyDescent="0.25">
      <c r="B128" s="287">
        <v>44317</v>
      </c>
      <c r="C128" s="165">
        <f t="shared" si="88"/>
        <v>31</v>
      </c>
      <c r="D128" s="288">
        <v>65.16</v>
      </c>
      <c r="E128" s="289">
        <v>1.2125300000000001</v>
      </c>
      <c r="F128" s="288">
        <v>-3.11</v>
      </c>
      <c r="G128" s="172">
        <v>-1.2236326751</v>
      </c>
      <c r="H128" s="288">
        <f t="shared" si="99"/>
        <v>61.889634917154204</v>
      </c>
      <c r="I128" s="288">
        <f t="shared" si="100"/>
        <v>472.23608899615499</v>
      </c>
      <c r="J128" s="288">
        <f t="shared" si="89"/>
        <v>473.45972167125501</v>
      </c>
      <c r="K128" s="171">
        <f t="shared" si="90"/>
        <v>0.95227133210558623</v>
      </c>
      <c r="L128" s="172">
        <f t="shared" si="119"/>
        <v>3.6799999999999997</v>
      </c>
      <c r="M128" s="288">
        <v>0.56999999999999995</v>
      </c>
      <c r="N128" s="290">
        <f t="shared" si="91"/>
        <v>65.23089498508881</v>
      </c>
      <c r="O128" s="288">
        <f t="shared" si="92"/>
        <v>497.73088451260298</v>
      </c>
      <c r="P128" s="290">
        <f t="shared" si="93"/>
        <v>501.53920234410299</v>
      </c>
      <c r="Q128" s="291"/>
      <c r="R128" s="292"/>
      <c r="S128" s="291"/>
      <c r="T128" s="288">
        <f t="shared" si="95"/>
        <v>493.38161712577602</v>
      </c>
      <c r="U128" s="293">
        <f t="shared" si="96"/>
        <v>497.18993495727602</v>
      </c>
      <c r="V128" s="291"/>
      <c r="W128" s="292"/>
      <c r="X128" s="294">
        <v>-3.8083178315000001</v>
      </c>
      <c r="Y128" s="333">
        <v>0.23</v>
      </c>
      <c r="Z128" s="296"/>
      <c r="AA128" s="290">
        <v>-10.38</v>
      </c>
      <c r="AB128" s="288">
        <f t="shared" si="102"/>
        <v>417.7842674424507</v>
      </c>
      <c r="AC128" s="319">
        <f t="shared" si="103"/>
        <v>54.779999999999994</v>
      </c>
      <c r="AD128" s="319"/>
      <c r="AE128" s="278">
        <v>411.26</v>
      </c>
      <c r="AF128" s="606">
        <v>10.53</v>
      </c>
      <c r="AG128" s="288">
        <f t="shared" si="120"/>
        <v>7.2700000000000014</v>
      </c>
      <c r="AH128" s="291"/>
      <c r="AI128" s="297"/>
      <c r="AJ128" s="171">
        <f t="shared" si="118"/>
        <v>0.53975348479864227</v>
      </c>
      <c r="AK128" s="290">
        <v>35.17033706947953</v>
      </c>
      <c r="AL128" s="190">
        <f t="shared" ref="AL128:AL183" si="121">(AJ128*D128)*6.29287*E128</f>
        <v>268.36</v>
      </c>
      <c r="AM128" s="190"/>
      <c r="AN128" s="292"/>
      <c r="AO128" s="298"/>
      <c r="AP128" s="290">
        <v>-2.92</v>
      </c>
      <c r="AQ128" s="288">
        <f t="shared" si="117"/>
        <v>0.18999999999999995</v>
      </c>
      <c r="AR128" s="284">
        <v>0</v>
      </c>
      <c r="AS128" s="200">
        <v>0</v>
      </c>
      <c r="AT128" s="278">
        <f t="shared" si="104"/>
        <v>65.16</v>
      </c>
      <c r="AU128" s="278">
        <f t="shared" si="105"/>
        <v>497.18993495727602</v>
      </c>
      <c r="AV128" s="278">
        <f t="shared" si="106"/>
        <v>497.18993495727602</v>
      </c>
      <c r="AW128" s="198"/>
      <c r="AX128" s="284">
        <v>0</v>
      </c>
      <c r="AY128" s="200">
        <v>0</v>
      </c>
      <c r="AZ128" s="278">
        <f t="shared" si="107"/>
        <v>65.16</v>
      </c>
      <c r="BA128" s="278">
        <f t="shared" si="108"/>
        <v>497.18993495727602</v>
      </c>
      <c r="BB128" s="278">
        <f t="shared" si="109"/>
        <v>497.18993495727602</v>
      </c>
      <c r="BC128" s="198"/>
      <c r="BD128" s="284">
        <v>0</v>
      </c>
      <c r="BE128" s="200">
        <v>0</v>
      </c>
      <c r="BF128" s="278">
        <f t="shared" si="110"/>
        <v>65.16</v>
      </c>
      <c r="BG128" s="278">
        <f t="shared" si="111"/>
        <v>497.18993495727602</v>
      </c>
      <c r="BH128" s="278">
        <f t="shared" si="112"/>
        <v>497.18993495727602</v>
      </c>
      <c r="BI128" s="198"/>
      <c r="BJ128" s="284">
        <v>0</v>
      </c>
      <c r="BK128" s="200">
        <v>0</v>
      </c>
      <c r="BL128" s="278">
        <f t="shared" si="113"/>
        <v>65.16</v>
      </c>
      <c r="BM128" s="278">
        <f t="shared" si="114"/>
        <v>497.18993495727602</v>
      </c>
      <c r="BN128" s="278">
        <f t="shared" si="115"/>
        <v>497.18993495727602</v>
      </c>
      <c r="BO128" s="198"/>
      <c r="BP128" s="342">
        <f t="shared" si="98"/>
        <v>-10.130000000000001</v>
      </c>
      <c r="BQ128" s="284"/>
      <c r="BR128" s="284"/>
      <c r="BS128" s="285" t="s">
        <v>114</v>
      </c>
      <c r="BT128" s="183" t="s">
        <v>114</v>
      </c>
      <c r="BU128" s="183" t="s">
        <v>114</v>
      </c>
      <c r="BV128" s="299"/>
      <c r="BW128" s="284"/>
      <c r="BX128" s="284"/>
      <c r="BY128" s="285" t="s">
        <v>114</v>
      </c>
      <c r="BZ128" s="183" t="s">
        <v>114</v>
      </c>
      <c r="CA128" s="183" t="s">
        <v>114</v>
      </c>
    </row>
    <row r="129" spans="2:79" x14ac:dyDescent="0.25">
      <c r="B129" s="287">
        <v>44348</v>
      </c>
      <c r="C129" s="165">
        <f t="shared" si="88"/>
        <v>30</v>
      </c>
      <c r="D129" s="288">
        <v>71.349999999999994</v>
      </c>
      <c r="E129" s="289">
        <v>1.22214</v>
      </c>
      <c r="F129" s="288">
        <v>-3.89</v>
      </c>
      <c r="G129" s="172">
        <v>-1.3968538062</v>
      </c>
      <c r="H129" s="288">
        <f t="shared" si="99"/>
        <v>67.278372654012543</v>
      </c>
      <c r="I129" s="288">
        <f t="shared" si="100"/>
        <v>517.42236503962795</v>
      </c>
      <c r="J129" s="288">
        <f t="shared" si="89"/>
        <v>518.819218845828</v>
      </c>
      <c r="K129" s="171">
        <f t="shared" si="90"/>
        <v>0.94548002803083386</v>
      </c>
      <c r="L129" s="172">
        <f t="shared" si="119"/>
        <v>2.1800000000000002</v>
      </c>
      <c r="M129" s="288">
        <v>-1.71</v>
      </c>
      <c r="N129" s="290">
        <f t="shared" si="91"/>
        <v>69.39435769402121</v>
      </c>
      <c r="O129" s="288">
        <f t="shared" si="92"/>
        <v>533.69591537385202</v>
      </c>
      <c r="P129" s="290">
        <f t="shared" si="93"/>
        <v>535.58509339495197</v>
      </c>
      <c r="Q129" s="291"/>
      <c r="R129" s="292"/>
      <c r="S129" s="291"/>
      <c r="T129" s="288">
        <f t="shared" si="95"/>
        <v>546.84712889632999</v>
      </c>
      <c r="U129" s="293">
        <f t="shared" si="96"/>
        <v>548.73630691742994</v>
      </c>
      <c r="V129" s="291"/>
      <c r="W129" s="292"/>
      <c r="X129" s="294">
        <v>-1.8891780211</v>
      </c>
      <c r="Y129" s="333">
        <v>0.22</v>
      </c>
      <c r="Z129" s="296"/>
      <c r="AA129" s="290">
        <v>-12.89</v>
      </c>
      <c r="AB129" s="288">
        <f t="shared" si="102"/>
        <v>449.38371560131611</v>
      </c>
      <c r="AC129" s="319">
        <f t="shared" si="103"/>
        <v>58.459999999999994</v>
      </c>
      <c r="AD129" s="319"/>
      <c r="AE129" s="278">
        <v>443.21</v>
      </c>
      <c r="AF129" s="606">
        <v>14</v>
      </c>
      <c r="AG129" s="288">
        <f t="shared" si="120"/>
        <v>9</v>
      </c>
      <c r="AH129" s="291"/>
      <c r="AI129" s="297"/>
      <c r="AJ129" s="171">
        <f t="shared" si="118"/>
        <v>0.52338435853346199</v>
      </c>
      <c r="AK129" s="290">
        <v>37.343473981362507</v>
      </c>
      <c r="AL129" s="190">
        <f t="shared" si="121"/>
        <v>287.2</v>
      </c>
      <c r="AM129" s="190"/>
      <c r="AN129" s="292"/>
      <c r="AO129" s="298"/>
      <c r="AP129" s="290">
        <v>-3.73</v>
      </c>
      <c r="AQ129" s="288">
        <f t="shared" si="117"/>
        <v>0.16000000000000014</v>
      </c>
      <c r="AR129" s="284">
        <v>0</v>
      </c>
      <c r="AS129" s="200">
        <v>0</v>
      </c>
      <c r="AT129" s="278">
        <f t="shared" si="104"/>
        <v>71.349999999999994</v>
      </c>
      <c r="AU129" s="278">
        <f t="shared" si="105"/>
        <v>548.73630691742994</v>
      </c>
      <c r="AV129" s="278">
        <f t="shared" si="106"/>
        <v>548.73630691742994</v>
      </c>
      <c r="AW129" s="198"/>
      <c r="AX129" s="284">
        <v>0</v>
      </c>
      <c r="AY129" s="200">
        <v>0</v>
      </c>
      <c r="AZ129" s="278">
        <f t="shared" si="107"/>
        <v>71.349999999999994</v>
      </c>
      <c r="BA129" s="278">
        <f t="shared" si="108"/>
        <v>548.73630691742994</v>
      </c>
      <c r="BB129" s="278">
        <f t="shared" si="109"/>
        <v>548.73630691742994</v>
      </c>
      <c r="BC129" s="198"/>
      <c r="BD129" s="284">
        <v>0</v>
      </c>
      <c r="BE129" s="200">
        <v>0</v>
      </c>
      <c r="BF129" s="278">
        <f t="shared" si="110"/>
        <v>71.349999999999994</v>
      </c>
      <c r="BG129" s="278">
        <f t="shared" si="111"/>
        <v>548.73630691742994</v>
      </c>
      <c r="BH129" s="278">
        <f t="shared" si="112"/>
        <v>548.73630691742994</v>
      </c>
      <c r="BI129" s="198"/>
      <c r="BJ129" s="284">
        <v>0</v>
      </c>
      <c r="BK129" s="200">
        <v>0</v>
      </c>
      <c r="BL129" s="278">
        <f t="shared" si="113"/>
        <v>71.349999999999994</v>
      </c>
      <c r="BM129" s="278">
        <f t="shared" si="114"/>
        <v>548.73630691742994</v>
      </c>
      <c r="BN129" s="278">
        <f t="shared" si="115"/>
        <v>548.73630691742994</v>
      </c>
      <c r="BO129" s="198"/>
      <c r="BP129" s="342">
        <f t="shared" si="98"/>
        <v>-12.64</v>
      </c>
      <c r="BQ129" s="284"/>
      <c r="BR129" s="284"/>
      <c r="BS129" s="285" t="s">
        <v>114</v>
      </c>
      <c r="BT129" s="183" t="s">
        <v>114</v>
      </c>
      <c r="BU129" s="183" t="s">
        <v>114</v>
      </c>
      <c r="BV129" s="299"/>
      <c r="BW129" s="284"/>
      <c r="BX129" s="284"/>
      <c r="BY129" s="285" t="s">
        <v>114</v>
      </c>
      <c r="BZ129" s="183" t="s">
        <v>114</v>
      </c>
      <c r="CA129" s="183" t="s">
        <v>114</v>
      </c>
    </row>
    <row r="130" spans="2:79" x14ac:dyDescent="0.25">
      <c r="B130" s="287">
        <v>44378</v>
      </c>
      <c r="C130" s="165">
        <f t="shared" ref="C130:C159" si="122">C118</f>
        <v>31</v>
      </c>
      <c r="D130" s="288">
        <v>72.430000000000007</v>
      </c>
      <c r="E130" s="289">
        <v>1.25278</v>
      </c>
      <c r="F130" s="288">
        <v>-4.7300000000000004</v>
      </c>
      <c r="G130" s="172">
        <v>-0.54137187019999999</v>
      </c>
      <c r="H130" s="288">
        <f t="shared" si="99"/>
        <v>67.631329198799378</v>
      </c>
      <c r="I130" s="288">
        <f t="shared" si="100"/>
        <v>533.17710777102002</v>
      </c>
      <c r="J130" s="288">
        <f t="shared" si="89"/>
        <v>533.71847964122003</v>
      </c>
      <c r="K130" s="171">
        <f t="shared" si="90"/>
        <v>0.93469556813475074</v>
      </c>
      <c r="L130" s="172">
        <f t="shared" si="119"/>
        <v>2.1300000000000003</v>
      </c>
      <c r="M130" s="288">
        <v>-2.6</v>
      </c>
      <c r="N130" s="290">
        <f t="shared" si="91"/>
        <v>69.384500138796852</v>
      </c>
      <c r="O130" s="288">
        <f t="shared" si="92"/>
        <v>546.99837407303801</v>
      </c>
      <c r="P130" s="290">
        <f t="shared" si="93"/>
        <v>550.51050861663805</v>
      </c>
      <c r="Q130" s="291"/>
      <c r="R130" s="292"/>
      <c r="S130" s="291"/>
      <c r="T130" s="288">
        <f t="shared" si="95"/>
        <v>567.49568643739792</v>
      </c>
      <c r="U130" s="293">
        <f t="shared" si="96"/>
        <v>571.00782098099796</v>
      </c>
      <c r="V130" s="291"/>
      <c r="W130" s="292"/>
      <c r="X130" s="294">
        <v>-3.5121345436000002</v>
      </c>
      <c r="Y130" s="333">
        <v>0.22</v>
      </c>
      <c r="Z130" s="296"/>
      <c r="AA130" s="290">
        <v>-13.97</v>
      </c>
      <c r="AB130" s="288">
        <f t="shared" si="102"/>
        <v>460.65011474218738</v>
      </c>
      <c r="AC130" s="319">
        <f t="shared" si="103"/>
        <v>58.460000000000008</v>
      </c>
      <c r="AD130" s="319"/>
      <c r="AE130" s="278">
        <v>452.75</v>
      </c>
      <c r="AF130" s="606">
        <v>16.52</v>
      </c>
      <c r="AG130" s="288">
        <f t="shared" si="120"/>
        <v>9.24</v>
      </c>
      <c r="AH130" s="291"/>
      <c r="AI130" s="297"/>
      <c r="AJ130" s="171">
        <f t="shared" si="118"/>
        <v>0.54927443806489873</v>
      </c>
      <c r="AK130" s="290">
        <v>39.783947549040619</v>
      </c>
      <c r="AL130" s="190">
        <f t="shared" si="121"/>
        <v>313.64</v>
      </c>
      <c r="AM130" s="190"/>
      <c r="AN130" s="292"/>
      <c r="AO130" s="298"/>
      <c r="AP130" s="290">
        <v>-4.4000000000000004</v>
      </c>
      <c r="AQ130" s="288">
        <f t="shared" si="117"/>
        <v>0.33000000000000007</v>
      </c>
      <c r="AR130" s="284">
        <v>0</v>
      </c>
      <c r="AS130" s="200">
        <v>0</v>
      </c>
      <c r="AT130" s="278">
        <f t="shared" si="104"/>
        <v>72.430000000000007</v>
      </c>
      <c r="AU130" s="278">
        <f t="shared" si="105"/>
        <v>571.00782098099808</v>
      </c>
      <c r="AV130" s="278">
        <f t="shared" si="106"/>
        <v>571.00782098099808</v>
      </c>
      <c r="AW130" s="198"/>
      <c r="AX130" s="284">
        <v>0</v>
      </c>
      <c r="AY130" s="200">
        <v>0</v>
      </c>
      <c r="AZ130" s="278">
        <f t="shared" si="107"/>
        <v>72.430000000000007</v>
      </c>
      <c r="BA130" s="278">
        <f t="shared" si="108"/>
        <v>571.00782098099808</v>
      </c>
      <c r="BB130" s="278">
        <f t="shared" si="109"/>
        <v>571.00782098099808</v>
      </c>
      <c r="BC130" s="198"/>
      <c r="BD130" s="284">
        <v>0</v>
      </c>
      <c r="BE130" s="200">
        <v>0</v>
      </c>
      <c r="BF130" s="278">
        <f t="shared" si="110"/>
        <v>72.430000000000007</v>
      </c>
      <c r="BG130" s="278">
        <f t="shared" si="111"/>
        <v>571.00782098099808</v>
      </c>
      <c r="BH130" s="278">
        <f t="shared" si="112"/>
        <v>571.00782098099808</v>
      </c>
      <c r="BI130" s="198"/>
      <c r="BJ130" s="284">
        <v>0</v>
      </c>
      <c r="BK130" s="200">
        <v>0</v>
      </c>
      <c r="BL130" s="278">
        <f t="shared" si="113"/>
        <v>72.430000000000007</v>
      </c>
      <c r="BM130" s="278">
        <f t="shared" si="114"/>
        <v>571.00782098099808</v>
      </c>
      <c r="BN130" s="278">
        <f t="shared" si="115"/>
        <v>571.00782098099808</v>
      </c>
      <c r="BO130" s="198"/>
      <c r="BP130" s="342">
        <f t="shared" si="98"/>
        <v>-13.72</v>
      </c>
      <c r="BQ130" s="284"/>
      <c r="BR130" s="284"/>
      <c r="BS130" s="285" t="s">
        <v>114</v>
      </c>
      <c r="BT130" s="183" t="s">
        <v>114</v>
      </c>
      <c r="BU130" s="183" t="s">
        <v>114</v>
      </c>
      <c r="BV130" s="299"/>
      <c r="BW130" s="284"/>
      <c r="BX130" s="284"/>
      <c r="BY130" s="285" t="s">
        <v>114</v>
      </c>
      <c r="BZ130" s="183" t="s">
        <v>114</v>
      </c>
      <c r="CA130" s="183" t="s">
        <v>114</v>
      </c>
    </row>
    <row r="131" spans="2:79" x14ac:dyDescent="0.25">
      <c r="B131" s="287">
        <v>44409</v>
      </c>
      <c r="C131" s="165">
        <f t="shared" si="122"/>
        <v>31</v>
      </c>
      <c r="D131" s="288">
        <v>67.709999999999994</v>
      </c>
      <c r="E131" s="289">
        <v>1.26044</v>
      </c>
      <c r="F131" s="288">
        <v>-3.53</v>
      </c>
      <c r="G131" s="172">
        <v>-0.49577392609999998</v>
      </c>
      <c r="H131" s="288">
        <f t="shared" si="99"/>
        <v>64.117495289878036</v>
      </c>
      <c r="I131" s="288">
        <f t="shared" si="100"/>
        <v>508.56619140440392</v>
      </c>
      <c r="J131" s="288">
        <f t="shared" si="89"/>
        <v>509.06196533050394</v>
      </c>
      <c r="K131" s="171">
        <f t="shared" si="90"/>
        <v>0.94786589868557081</v>
      </c>
      <c r="L131" s="172">
        <f t="shared" si="119"/>
        <v>2.09</v>
      </c>
      <c r="M131" s="288">
        <v>-1.44</v>
      </c>
      <c r="N131" s="290">
        <f t="shared" si="91"/>
        <v>65.775176788702026</v>
      </c>
      <c r="O131" s="288">
        <f t="shared" si="92"/>
        <v>521.71456475565594</v>
      </c>
      <c r="P131" s="290">
        <f t="shared" si="93"/>
        <v>525.6393961117559</v>
      </c>
      <c r="Q131" s="291"/>
      <c r="R131" s="292"/>
      <c r="S131" s="291"/>
      <c r="T131" s="288">
        <f t="shared" si="95"/>
        <v>533.13633524608792</v>
      </c>
      <c r="U131" s="293">
        <f t="shared" si="96"/>
        <v>537.06116660218788</v>
      </c>
      <c r="V131" s="291"/>
      <c r="W131" s="292"/>
      <c r="X131" s="294">
        <v>-3.9248313560999999</v>
      </c>
      <c r="Y131" s="333">
        <v>0.25</v>
      </c>
      <c r="Z131" s="296"/>
      <c r="AA131" s="290">
        <v>-13.24</v>
      </c>
      <c r="AB131" s="288">
        <f t="shared" si="102"/>
        <v>431.83427882839135</v>
      </c>
      <c r="AC131" s="319">
        <f t="shared" si="103"/>
        <v>54.469999999999992</v>
      </c>
      <c r="AD131" s="319"/>
      <c r="AE131" s="278">
        <v>431.84728917199993</v>
      </c>
      <c r="AF131" s="606">
        <v>18.260000000000002</v>
      </c>
      <c r="AG131" s="288">
        <f t="shared" si="120"/>
        <v>9.7100000000000009</v>
      </c>
      <c r="AH131" s="291"/>
      <c r="AI131" s="297"/>
      <c r="AJ131" s="171">
        <f t="shared" si="118"/>
        <v>0.59423399017861489</v>
      </c>
      <c r="AK131" s="290">
        <v>40.235583474994009</v>
      </c>
      <c r="AL131" s="190">
        <f t="shared" si="121"/>
        <v>319.14</v>
      </c>
      <c r="AM131" s="190"/>
      <c r="AN131" s="292"/>
      <c r="AO131" s="298"/>
      <c r="AP131" s="290">
        <v>-3.07</v>
      </c>
      <c r="AQ131" s="288">
        <f t="shared" si="117"/>
        <v>0.45999999999999996</v>
      </c>
      <c r="AR131" s="284">
        <v>0</v>
      </c>
      <c r="AS131" s="200">
        <v>0</v>
      </c>
      <c r="AT131" s="278">
        <f t="shared" si="104"/>
        <v>67.710000000000008</v>
      </c>
      <c r="AU131" s="278">
        <f t="shared" si="105"/>
        <v>537.061166602188</v>
      </c>
      <c r="AV131" s="278">
        <f t="shared" si="106"/>
        <v>537.061166602188</v>
      </c>
      <c r="AW131" s="198"/>
      <c r="AX131" s="284">
        <v>0</v>
      </c>
      <c r="AY131" s="200">
        <v>0</v>
      </c>
      <c r="AZ131" s="278">
        <f t="shared" si="107"/>
        <v>67.710000000000008</v>
      </c>
      <c r="BA131" s="278">
        <f t="shared" si="108"/>
        <v>537.061166602188</v>
      </c>
      <c r="BB131" s="278">
        <f t="shared" si="109"/>
        <v>537.061166602188</v>
      </c>
      <c r="BC131" s="198"/>
      <c r="BD131" s="284">
        <v>0</v>
      </c>
      <c r="BE131" s="200">
        <v>0</v>
      </c>
      <c r="BF131" s="278">
        <f t="shared" si="110"/>
        <v>67.710000000000008</v>
      </c>
      <c r="BG131" s="278">
        <f t="shared" si="111"/>
        <v>537.061166602188</v>
      </c>
      <c r="BH131" s="278">
        <f t="shared" si="112"/>
        <v>537.061166602188</v>
      </c>
      <c r="BI131" s="198"/>
      <c r="BJ131" s="284">
        <v>0</v>
      </c>
      <c r="BK131" s="200">
        <v>0</v>
      </c>
      <c r="BL131" s="278">
        <f t="shared" si="113"/>
        <v>67.710000000000008</v>
      </c>
      <c r="BM131" s="278">
        <f t="shared" si="114"/>
        <v>537.061166602188</v>
      </c>
      <c r="BN131" s="278">
        <f t="shared" si="115"/>
        <v>537.061166602188</v>
      </c>
      <c r="BO131" s="198"/>
      <c r="BP131" s="342">
        <f t="shared" si="98"/>
        <v>-12.99</v>
      </c>
      <c r="BQ131" s="284"/>
      <c r="BR131" s="284"/>
      <c r="BS131" s="285" t="s">
        <v>114</v>
      </c>
      <c r="BT131" s="183" t="s">
        <v>114</v>
      </c>
      <c r="BU131" s="183" t="s">
        <v>114</v>
      </c>
      <c r="BV131" s="299"/>
      <c r="BW131" s="284"/>
      <c r="BX131" s="284"/>
      <c r="BY131" s="285" t="s">
        <v>114</v>
      </c>
      <c r="BZ131" s="183" t="s">
        <v>114</v>
      </c>
      <c r="CA131" s="183" t="s">
        <v>114</v>
      </c>
    </row>
    <row r="132" spans="2:79" x14ac:dyDescent="0.25">
      <c r="B132" s="287">
        <v>44440</v>
      </c>
      <c r="C132" s="165">
        <f t="shared" si="122"/>
        <v>30</v>
      </c>
      <c r="D132" s="288">
        <v>71.540000000000006</v>
      </c>
      <c r="E132" s="289">
        <v>1.2672000000000001</v>
      </c>
      <c r="F132" s="288">
        <v>-3.97</v>
      </c>
      <c r="G132" s="172">
        <v>-0.98874661060000002</v>
      </c>
      <c r="H132" s="288">
        <f t="shared" si="99"/>
        <v>67.446008737107817</v>
      </c>
      <c r="I132" s="288">
        <f t="shared" si="100"/>
        <v>537.83638444988014</v>
      </c>
      <c r="J132" s="288">
        <f t="shared" ref="J132:J183" si="123">I132-G132</f>
        <v>538.82513106048009</v>
      </c>
      <c r="K132" s="171">
        <f t="shared" ref="K132:K183" si="124">(D132+F132)/D132</f>
        <v>0.94450656975118819</v>
      </c>
      <c r="L132" s="172">
        <f t="shared" si="119"/>
        <v>4.0600000000000005</v>
      </c>
      <c r="M132" s="288">
        <v>0.09</v>
      </c>
      <c r="N132" s="290">
        <f t="shared" ref="N132:N183" si="125">O132/(E132*6.29287)</f>
        <v>71.427916490689384</v>
      </c>
      <c r="O132" s="288">
        <f t="shared" ref="O132:O156" si="126">((D132+M132)*6.29287*E132)+X132</f>
        <v>569.58941045542008</v>
      </c>
      <c r="P132" s="290">
        <f t="shared" ref="P132:P183" si="127">O132-X132</f>
        <v>571.20089000832013</v>
      </c>
      <c r="Q132" s="291"/>
      <c r="R132" s="292"/>
      <c r="S132" s="291"/>
      <c r="T132" s="288">
        <f t="shared" ref="T132:T157" si="128">(($D132+R132)*$E132*6.29287)+X132</f>
        <v>568.87172121766002</v>
      </c>
      <c r="U132" s="293">
        <f t="shared" ref="U132:U183" si="129">T132-X132</f>
        <v>570.48320077056007</v>
      </c>
      <c r="V132" s="291"/>
      <c r="W132" s="292"/>
      <c r="X132" s="294">
        <v>-1.6114795528999999</v>
      </c>
      <c r="Y132" s="333">
        <v>0.28000000000000003</v>
      </c>
      <c r="Z132" s="296"/>
      <c r="AA132" s="290">
        <v>-13.53</v>
      </c>
      <c r="AB132" s="288">
        <f t="shared" si="102"/>
        <v>462.36568068345605</v>
      </c>
      <c r="AC132" s="319">
        <f t="shared" si="103"/>
        <v>58.010000000000005</v>
      </c>
      <c r="AD132" s="319"/>
      <c r="AE132" s="278">
        <v>462.39420619599997</v>
      </c>
      <c r="AF132" s="606">
        <v>17.75</v>
      </c>
      <c r="AG132" s="288">
        <f t="shared" si="120"/>
        <v>9.5599999999999987</v>
      </c>
      <c r="AH132" s="291"/>
      <c r="AI132" s="297"/>
      <c r="AJ132" s="171">
        <f t="shared" si="118"/>
        <v>0.69193543178345263</v>
      </c>
      <c r="AK132" s="290">
        <v>49.501060789788205</v>
      </c>
      <c r="AL132" s="190">
        <f t="shared" si="121"/>
        <v>394.7375398503836</v>
      </c>
      <c r="AM132" s="190"/>
      <c r="AN132" s="292"/>
      <c r="AO132" s="298"/>
      <c r="AP132" s="290">
        <v>-3.68</v>
      </c>
      <c r="AQ132" s="288">
        <f t="shared" si="117"/>
        <v>0.29000000000000004</v>
      </c>
      <c r="AR132" s="284">
        <v>0</v>
      </c>
      <c r="AS132" s="200">
        <v>0</v>
      </c>
      <c r="AT132" s="278">
        <f t="shared" si="104"/>
        <v>71.540000000000006</v>
      </c>
      <c r="AU132" s="278">
        <f t="shared" si="105"/>
        <v>570.48320077056007</v>
      </c>
      <c r="AV132" s="278">
        <f t="shared" si="106"/>
        <v>570.48320077056007</v>
      </c>
      <c r="AW132" s="198"/>
      <c r="AX132" s="284">
        <v>0</v>
      </c>
      <c r="AY132" s="200">
        <v>0</v>
      </c>
      <c r="AZ132" s="278">
        <f t="shared" si="107"/>
        <v>71.540000000000006</v>
      </c>
      <c r="BA132" s="278">
        <f t="shared" si="108"/>
        <v>570.48320077056007</v>
      </c>
      <c r="BB132" s="278">
        <f t="shared" si="109"/>
        <v>570.48320077056007</v>
      </c>
      <c r="BC132" s="198"/>
      <c r="BD132" s="284">
        <v>0</v>
      </c>
      <c r="BE132" s="200">
        <v>0</v>
      </c>
      <c r="BF132" s="278">
        <f t="shared" si="110"/>
        <v>71.540000000000006</v>
      </c>
      <c r="BG132" s="278">
        <f t="shared" si="111"/>
        <v>570.48320077056007</v>
      </c>
      <c r="BH132" s="278">
        <f t="shared" si="112"/>
        <v>570.48320077056007</v>
      </c>
      <c r="BI132" s="198"/>
      <c r="BJ132" s="284">
        <v>0</v>
      </c>
      <c r="BK132" s="200">
        <v>0</v>
      </c>
      <c r="BL132" s="278">
        <f t="shared" si="113"/>
        <v>71.540000000000006</v>
      </c>
      <c r="BM132" s="278">
        <f t="shared" si="114"/>
        <v>570.48320077056007</v>
      </c>
      <c r="BN132" s="278">
        <f t="shared" si="115"/>
        <v>570.48320077056007</v>
      </c>
      <c r="BO132" s="198"/>
      <c r="BP132" s="342">
        <f t="shared" ref="BP132:BP159" si="130">AA132+0.25</f>
        <v>-13.28</v>
      </c>
      <c r="BQ132" s="284"/>
      <c r="BR132" s="284"/>
      <c r="BS132" s="285" t="s">
        <v>114</v>
      </c>
      <c r="BT132" s="183" t="s">
        <v>114</v>
      </c>
      <c r="BU132" s="183" t="s">
        <v>114</v>
      </c>
      <c r="BV132" s="299"/>
      <c r="BW132" s="284"/>
      <c r="BX132" s="284"/>
      <c r="BY132" s="285" t="s">
        <v>114</v>
      </c>
      <c r="BZ132" s="183" t="s">
        <v>114</v>
      </c>
      <c r="CA132" s="183" t="s">
        <v>114</v>
      </c>
    </row>
    <row r="133" spans="2:79" x14ac:dyDescent="0.25">
      <c r="B133" s="287">
        <v>44470</v>
      </c>
      <c r="C133" s="165">
        <f t="shared" si="122"/>
        <v>31</v>
      </c>
      <c r="D133" s="288">
        <v>81.22</v>
      </c>
      <c r="E133" s="289">
        <v>1.2435</v>
      </c>
      <c r="F133" s="288">
        <v>-3.38</v>
      </c>
      <c r="G133" s="172">
        <v>-1.394494167</v>
      </c>
      <c r="H133" s="288">
        <f t="shared" ref="H133:H183" si="131">I133/(E133*6.29287)</f>
        <v>77.661794069682983</v>
      </c>
      <c r="I133" s="288">
        <f t="shared" ref="I133:I157" si="132">((D133+F133)*6.29287*E133)+G133</f>
        <v>607.71781632780005</v>
      </c>
      <c r="J133" s="288">
        <f t="shared" si="123"/>
        <v>609.1123104948</v>
      </c>
      <c r="K133" s="171">
        <f t="shared" si="124"/>
        <v>0.95838463432652066</v>
      </c>
      <c r="L133" s="172">
        <f t="shared" si="119"/>
        <v>4.2</v>
      </c>
      <c r="M133" s="288">
        <v>0.82</v>
      </c>
      <c r="N133" s="290">
        <f t="shared" si="125"/>
        <v>81.70204740660634</v>
      </c>
      <c r="O133" s="288">
        <f t="shared" si="126"/>
        <v>639.33354146960005</v>
      </c>
      <c r="P133" s="290">
        <f t="shared" si="127"/>
        <v>641.97808264380001</v>
      </c>
      <c r="Q133" s="291"/>
      <c r="R133" s="292"/>
      <c r="S133" s="291"/>
      <c r="T133" s="288">
        <f t="shared" si="128"/>
        <v>632.9168907167001</v>
      </c>
      <c r="U133" s="293">
        <f t="shared" si="129"/>
        <v>635.56143189090005</v>
      </c>
      <c r="V133" s="291"/>
      <c r="W133" s="292"/>
      <c r="X133" s="294">
        <v>-2.6445411742</v>
      </c>
      <c r="Y133" s="333">
        <v>0.26</v>
      </c>
      <c r="Z133" s="296"/>
      <c r="AA133" s="290">
        <v>-11.92</v>
      </c>
      <c r="AB133" s="288">
        <f t="shared" ref="AB133:AB183" si="133">(D133+AA133)*E133*6.2898105</f>
        <v>542.02158942277492</v>
      </c>
      <c r="AC133" s="319">
        <f t="shared" ref="AC133:AC183" si="134">D133+AA133</f>
        <v>69.3</v>
      </c>
      <c r="AD133" s="319"/>
      <c r="AE133" s="278">
        <v>542.03791950000004</v>
      </c>
      <c r="AF133" s="606">
        <v>14.729999999999999</v>
      </c>
      <c r="AG133" s="288">
        <f t="shared" si="120"/>
        <v>8.5399999999999991</v>
      </c>
      <c r="AH133" s="291"/>
      <c r="AI133" s="297"/>
      <c r="AJ133" s="171">
        <f t="shared" si="118"/>
        <v>0.72276254811958673</v>
      </c>
      <c r="AK133" s="290">
        <v>58.702774158272831</v>
      </c>
      <c r="AL133" s="190">
        <f t="shared" si="121"/>
        <v>459.36</v>
      </c>
      <c r="AM133" s="190"/>
      <c r="AN133" s="292"/>
      <c r="AO133" s="298"/>
      <c r="AP133" s="290">
        <v>-2.96</v>
      </c>
      <c r="AQ133" s="288">
        <f t="shared" si="117"/>
        <v>0.41999999999999993</v>
      </c>
      <c r="AR133" s="284">
        <v>0</v>
      </c>
      <c r="AS133" s="200">
        <v>0</v>
      </c>
      <c r="AT133" s="278">
        <f t="shared" ref="AT133:AT183" si="135">AU133/($E133*6.29287)</f>
        <v>81.22</v>
      </c>
      <c r="AU133" s="278">
        <f t="shared" ref="AU133:AU172" si="136">(($D133+AR133)*6.29287*$E133)+AS133</f>
        <v>635.56143189089994</v>
      </c>
      <c r="AV133" s="278">
        <f t="shared" ref="AV133:AV183" si="137">AU133-AS133</f>
        <v>635.56143189089994</v>
      </c>
      <c r="AW133" s="198"/>
      <c r="AX133" s="284">
        <v>0</v>
      </c>
      <c r="AY133" s="200">
        <v>0</v>
      </c>
      <c r="AZ133" s="278">
        <f t="shared" ref="AZ133:AZ183" si="138">BA133/($E133*6.29287)</f>
        <v>81.22</v>
      </c>
      <c r="BA133" s="278">
        <f t="shared" ref="BA133:BA170" si="139">(($D133+AX133)*6.29287*$E133)+AY133</f>
        <v>635.56143189089994</v>
      </c>
      <c r="BB133" s="278">
        <f t="shared" ref="BB133:BB183" si="140">BA133-AY133</f>
        <v>635.56143189089994</v>
      </c>
      <c r="BC133" s="198"/>
      <c r="BD133" s="284">
        <v>0</v>
      </c>
      <c r="BE133" s="200">
        <v>0</v>
      </c>
      <c r="BF133" s="278">
        <f t="shared" ref="BF133:BF183" si="141">BG133/($E133*6.29287)</f>
        <v>81.22</v>
      </c>
      <c r="BG133" s="278">
        <f t="shared" ref="BG133:BG170" si="142">(($D133+BD133)*6.29287*$E133)+BE133</f>
        <v>635.56143189089994</v>
      </c>
      <c r="BH133" s="278">
        <f t="shared" ref="BH133:BH183" si="143">BG133-BE133</f>
        <v>635.56143189089994</v>
      </c>
      <c r="BI133" s="198"/>
      <c r="BJ133" s="284">
        <v>0</v>
      </c>
      <c r="BK133" s="200">
        <v>0</v>
      </c>
      <c r="BL133" s="278">
        <f t="shared" ref="BL133:BL183" si="144">BM133/($E133*6.29287)</f>
        <v>81.22</v>
      </c>
      <c r="BM133" s="278">
        <f t="shared" ref="BM133:BM169" si="145">(($D133+BJ133)*6.29287*$E133)+BK133</f>
        <v>635.56143189089994</v>
      </c>
      <c r="BN133" s="278">
        <f t="shared" ref="BN133:BN183" si="146">BM133-BK133</f>
        <v>635.56143189089994</v>
      </c>
      <c r="BO133" s="198"/>
      <c r="BP133" s="342">
        <f t="shared" si="130"/>
        <v>-11.67</v>
      </c>
      <c r="BQ133" s="284"/>
      <c r="BR133" s="284"/>
      <c r="BS133" s="285" t="s">
        <v>114</v>
      </c>
      <c r="BT133" s="183" t="s">
        <v>114</v>
      </c>
      <c r="BU133" s="183" t="s">
        <v>114</v>
      </c>
      <c r="BV133" s="299"/>
      <c r="BW133" s="284"/>
      <c r="BX133" s="284"/>
      <c r="BY133" s="285" t="s">
        <v>114</v>
      </c>
      <c r="BZ133" s="183" t="s">
        <v>114</v>
      </c>
      <c r="CA133" s="183" t="s">
        <v>114</v>
      </c>
    </row>
    <row r="134" spans="2:79" x14ac:dyDescent="0.25">
      <c r="B134" s="287">
        <v>44501</v>
      </c>
      <c r="C134" s="165">
        <f t="shared" si="122"/>
        <v>30</v>
      </c>
      <c r="D134" s="288">
        <v>78.650000000000006</v>
      </c>
      <c r="E134" s="289">
        <v>1.2572000000000001</v>
      </c>
      <c r="F134" s="288">
        <v>-2.02</v>
      </c>
      <c r="G134" s="172">
        <v>-1.4272650809</v>
      </c>
      <c r="H134" s="288">
        <f t="shared" si="131"/>
        <v>76.449593779490584</v>
      </c>
      <c r="I134" s="288">
        <f t="shared" si="132"/>
        <v>604.82302296642013</v>
      </c>
      <c r="J134" s="288">
        <f t="shared" si="123"/>
        <v>606.25028804732017</v>
      </c>
      <c r="K134" s="171">
        <f t="shared" si="124"/>
        <v>0.97431659249841074</v>
      </c>
      <c r="L134" s="172">
        <f t="shared" si="119"/>
        <v>5.17</v>
      </c>
      <c r="M134" s="288">
        <v>3.15</v>
      </c>
      <c r="N134" s="290">
        <f t="shared" si="125"/>
        <v>81.456603727764005</v>
      </c>
      <c r="O134" s="288">
        <f t="shared" si="126"/>
        <v>644.43546226430021</v>
      </c>
      <c r="P134" s="290">
        <f t="shared" si="127"/>
        <v>647.15220621520018</v>
      </c>
      <c r="Q134" s="291"/>
      <c r="R134" s="292"/>
      <c r="S134" s="291"/>
      <c r="T134" s="288">
        <f t="shared" si="128"/>
        <v>619.51456434770012</v>
      </c>
      <c r="U134" s="293">
        <f t="shared" si="129"/>
        <v>622.23130829860008</v>
      </c>
      <c r="V134" s="291"/>
      <c r="W134" s="292"/>
      <c r="X134" s="294">
        <v>-2.7167439509000002</v>
      </c>
      <c r="Y134" s="333">
        <v>0.34</v>
      </c>
      <c r="Z134" s="296"/>
      <c r="AA134" s="290">
        <v>-13.4</v>
      </c>
      <c r="AB134" s="288">
        <f t="shared" si="133"/>
        <v>515.96762187914999</v>
      </c>
      <c r="AC134" s="319">
        <f t="shared" si="134"/>
        <v>65.25</v>
      </c>
      <c r="AD134" s="319"/>
      <c r="AE134" s="278">
        <v>515.970854325</v>
      </c>
      <c r="AF134" s="606">
        <v>11.5</v>
      </c>
      <c r="AG134" s="288">
        <f t="shared" si="120"/>
        <v>11.38</v>
      </c>
      <c r="AH134" s="291"/>
      <c r="AI134" s="297"/>
      <c r="AJ134" s="171">
        <f t="shared" si="118"/>
        <v>0.78490369699740137</v>
      </c>
      <c r="AK134" s="290">
        <v>61.732675768845624</v>
      </c>
      <c r="AL134" s="190">
        <f t="shared" si="121"/>
        <v>488.391654271101</v>
      </c>
      <c r="AM134" s="190"/>
      <c r="AN134" s="292"/>
      <c r="AO134" s="298"/>
      <c r="AP134" s="290">
        <v>-1.73</v>
      </c>
      <c r="AQ134" s="288">
        <f t="shared" si="117"/>
        <v>0.29000000000000004</v>
      </c>
      <c r="AR134" s="284">
        <v>0</v>
      </c>
      <c r="AS134" s="200">
        <v>0</v>
      </c>
      <c r="AT134" s="278">
        <f t="shared" si="135"/>
        <v>78.650000000000006</v>
      </c>
      <c r="AU134" s="278">
        <f t="shared" si="136"/>
        <v>622.23130829860008</v>
      </c>
      <c r="AV134" s="278">
        <f t="shared" si="137"/>
        <v>622.23130829860008</v>
      </c>
      <c r="AW134" s="198"/>
      <c r="AX134" s="284">
        <v>0</v>
      </c>
      <c r="AY134" s="200">
        <v>0</v>
      </c>
      <c r="AZ134" s="278">
        <f t="shared" si="138"/>
        <v>78.650000000000006</v>
      </c>
      <c r="BA134" s="278">
        <f t="shared" si="139"/>
        <v>622.23130829860008</v>
      </c>
      <c r="BB134" s="278">
        <f t="shared" si="140"/>
        <v>622.23130829860008</v>
      </c>
      <c r="BC134" s="198"/>
      <c r="BD134" s="284">
        <v>0</v>
      </c>
      <c r="BE134" s="200">
        <v>0</v>
      </c>
      <c r="BF134" s="278">
        <f t="shared" si="141"/>
        <v>78.650000000000006</v>
      </c>
      <c r="BG134" s="278">
        <f t="shared" si="142"/>
        <v>622.23130829860008</v>
      </c>
      <c r="BH134" s="278">
        <f t="shared" si="143"/>
        <v>622.23130829860008</v>
      </c>
      <c r="BI134" s="198"/>
      <c r="BJ134" s="284">
        <v>0</v>
      </c>
      <c r="BK134" s="200">
        <v>0</v>
      </c>
      <c r="BL134" s="278">
        <f t="shared" si="144"/>
        <v>78.650000000000006</v>
      </c>
      <c r="BM134" s="278">
        <f t="shared" si="145"/>
        <v>622.23130829860008</v>
      </c>
      <c r="BN134" s="278">
        <f t="shared" si="146"/>
        <v>622.23130829860008</v>
      </c>
      <c r="BO134" s="198"/>
      <c r="BP134" s="342">
        <f t="shared" si="130"/>
        <v>-13.15</v>
      </c>
      <c r="BQ134" s="284"/>
      <c r="BR134" s="284"/>
      <c r="BS134" s="285" t="s">
        <v>114</v>
      </c>
      <c r="BT134" s="183" t="s">
        <v>114</v>
      </c>
      <c r="BU134" s="183" t="s">
        <v>114</v>
      </c>
      <c r="BV134" s="299"/>
      <c r="BW134" s="284"/>
      <c r="BX134" s="284"/>
      <c r="BY134" s="285" t="s">
        <v>114</v>
      </c>
      <c r="BZ134" s="183" t="s">
        <v>114</v>
      </c>
      <c r="CA134" s="183" t="s">
        <v>114</v>
      </c>
    </row>
    <row r="135" spans="2:79" x14ac:dyDescent="0.25">
      <c r="B135" s="300">
        <v>44531</v>
      </c>
      <c r="C135" s="203">
        <f t="shared" si="122"/>
        <v>31</v>
      </c>
      <c r="D135" s="301">
        <v>71.69</v>
      </c>
      <c r="E135" s="302">
        <v>1.2794000000000001</v>
      </c>
      <c r="F135" s="301">
        <v>-3.89</v>
      </c>
      <c r="G135" s="210">
        <v>-3.1673227E-3</v>
      </c>
      <c r="H135" s="301">
        <f t="shared" si="131"/>
        <v>67.799606597417124</v>
      </c>
      <c r="I135" s="301">
        <f t="shared" si="132"/>
        <v>545.86126880569986</v>
      </c>
      <c r="J135" s="301">
        <f t="shared" si="123"/>
        <v>545.86443612839992</v>
      </c>
      <c r="K135" s="209">
        <f t="shared" si="124"/>
        <v>0.9457385967359464</v>
      </c>
      <c r="L135" s="210">
        <f t="shared" si="119"/>
        <v>5.74</v>
      </c>
      <c r="M135" s="301">
        <v>1.85</v>
      </c>
      <c r="N135" s="303">
        <f t="shared" si="125"/>
        <v>73.253839965739886</v>
      </c>
      <c r="O135" s="301">
        <f t="shared" si="126"/>
        <v>589.77383550351999</v>
      </c>
      <c r="P135" s="303">
        <f t="shared" si="127"/>
        <v>592.07773794811999</v>
      </c>
      <c r="Q135" s="304"/>
      <c r="R135" s="305"/>
      <c r="S135" s="304"/>
      <c r="T135" s="301">
        <f t="shared" si="128"/>
        <v>574.87930442921993</v>
      </c>
      <c r="U135" s="303">
        <f t="shared" si="129"/>
        <v>577.18320687381993</v>
      </c>
      <c r="V135" s="304"/>
      <c r="W135" s="305"/>
      <c r="X135" s="306">
        <v>-2.3039024445999998</v>
      </c>
      <c r="Y135" s="307">
        <v>0.42</v>
      </c>
      <c r="Z135" s="308"/>
      <c r="AA135" s="303">
        <v>-18.59</v>
      </c>
      <c r="AB135" s="301">
        <f t="shared" si="133"/>
        <v>427.30544670146998</v>
      </c>
      <c r="AC135" s="320">
        <f t="shared" si="134"/>
        <v>53.099999999999994</v>
      </c>
      <c r="AD135" s="320"/>
      <c r="AE135" s="312">
        <v>427.31832059999999</v>
      </c>
      <c r="AF135" s="607">
        <v>8.98</v>
      </c>
      <c r="AG135" s="301">
        <f t="shared" si="120"/>
        <v>14.7</v>
      </c>
      <c r="AH135" s="304"/>
      <c r="AI135" s="309"/>
      <c r="AJ135" s="209">
        <f t="shared" si="118"/>
        <v>0.71050230692115601</v>
      </c>
      <c r="AK135" s="303">
        <v>50.935910383177671</v>
      </c>
      <c r="AL135" s="228">
        <f t="shared" si="121"/>
        <v>410.09</v>
      </c>
      <c r="AM135" s="228"/>
      <c r="AN135" s="305"/>
      <c r="AO135" s="310"/>
      <c r="AP135" s="303">
        <v>-3.62</v>
      </c>
      <c r="AQ135" s="301">
        <f t="shared" si="117"/>
        <v>0.27</v>
      </c>
      <c r="AR135" s="311">
        <v>0</v>
      </c>
      <c r="AS135" s="238">
        <v>0</v>
      </c>
      <c r="AT135" s="312">
        <f t="shared" si="135"/>
        <v>71.69</v>
      </c>
      <c r="AU135" s="312">
        <f t="shared" si="136"/>
        <v>577.18320687382004</v>
      </c>
      <c r="AV135" s="312">
        <f t="shared" si="137"/>
        <v>577.18320687382004</v>
      </c>
      <c r="AW135" s="236"/>
      <c r="AX135" s="311">
        <v>0</v>
      </c>
      <c r="AY135" s="238">
        <v>0</v>
      </c>
      <c r="AZ135" s="312">
        <f t="shared" si="138"/>
        <v>71.69</v>
      </c>
      <c r="BA135" s="312">
        <f t="shared" si="139"/>
        <v>577.18320687382004</v>
      </c>
      <c r="BB135" s="312">
        <f t="shared" si="140"/>
        <v>577.18320687382004</v>
      </c>
      <c r="BC135" s="236"/>
      <c r="BD135" s="311">
        <v>0</v>
      </c>
      <c r="BE135" s="238">
        <v>0</v>
      </c>
      <c r="BF135" s="312">
        <f t="shared" si="141"/>
        <v>71.69</v>
      </c>
      <c r="BG135" s="312">
        <f t="shared" si="142"/>
        <v>577.18320687382004</v>
      </c>
      <c r="BH135" s="312">
        <f t="shared" si="143"/>
        <v>577.18320687382004</v>
      </c>
      <c r="BI135" s="236"/>
      <c r="BJ135" s="311">
        <v>0</v>
      </c>
      <c r="BK135" s="238">
        <v>0</v>
      </c>
      <c r="BL135" s="312">
        <f t="shared" si="144"/>
        <v>71.69</v>
      </c>
      <c r="BM135" s="312">
        <f t="shared" si="145"/>
        <v>577.18320687382004</v>
      </c>
      <c r="BN135" s="312">
        <f t="shared" si="146"/>
        <v>577.18320687382004</v>
      </c>
      <c r="BO135" s="236"/>
      <c r="BP135" s="344">
        <f t="shared" si="130"/>
        <v>-18.34</v>
      </c>
      <c r="BQ135" s="311"/>
      <c r="BR135" s="311"/>
      <c r="BS135" s="313" t="s">
        <v>114</v>
      </c>
      <c r="BT135" s="221" t="s">
        <v>114</v>
      </c>
      <c r="BU135" s="221" t="s">
        <v>114</v>
      </c>
      <c r="BV135" s="314"/>
      <c r="BW135" s="311"/>
      <c r="BX135" s="311"/>
      <c r="BY135" s="313" t="s">
        <v>114</v>
      </c>
      <c r="BZ135" s="221" t="s">
        <v>114</v>
      </c>
      <c r="CA135" s="221" t="s">
        <v>114</v>
      </c>
    </row>
    <row r="136" spans="2:79" x14ac:dyDescent="0.25">
      <c r="B136" s="322">
        <v>44562</v>
      </c>
      <c r="C136" s="126">
        <f t="shared" si="122"/>
        <v>31</v>
      </c>
      <c r="D136" s="323">
        <v>82.98</v>
      </c>
      <c r="E136" s="334">
        <v>1.2611000000000001</v>
      </c>
      <c r="F136" s="323">
        <v>-4.7699999999999996</v>
      </c>
      <c r="G136" s="133">
        <v>0.58474625170000005</v>
      </c>
      <c r="H136" s="323">
        <f t="shared" si="131"/>
        <v>78.28368331574606</v>
      </c>
      <c r="I136" s="323">
        <f t="shared" si="132"/>
        <v>621.2544851526701</v>
      </c>
      <c r="J136" s="323">
        <f t="shared" si="123"/>
        <v>620.66973890097006</v>
      </c>
      <c r="K136" s="132">
        <f t="shared" si="124"/>
        <v>0.94251626898047725</v>
      </c>
      <c r="L136" s="133">
        <f t="shared" si="119"/>
        <v>5.76</v>
      </c>
      <c r="M136" s="323">
        <v>0.99</v>
      </c>
      <c r="N136" s="325">
        <f t="shared" si="125"/>
        <v>83.287245390783482</v>
      </c>
      <c r="O136" s="323">
        <f t="shared" si="126"/>
        <v>660.96244534559014</v>
      </c>
      <c r="P136" s="325">
        <f t="shared" si="127"/>
        <v>666.38074383729008</v>
      </c>
      <c r="Q136" s="317"/>
      <c r="R136" s="326"/>
      <c r="S136" s="317"/>
      <c r="T136" s="323">
        <f t="shared" si="128"/>
        <v>653.10586637216011</v>
      </c>
      <c r="U136" s="325">
        <f t="shared" si="129"/>
        <v>658.52416486386005</v>
      </c>
      <c r="V136" s="317"/>
      <c r="W136" s="326"/>
      <c r="X136" s="327">
        <v>-5.4182984916999999</v>
      </c>
      <c r="Y136" s="328">
        <v>0.37</v>
      </c>
      <c r="Z136" s="329"/>
      <c r="AA136" s="325">
        <v>-17.38</v>
      </c>
      <c r="AB136" s="323">
        <f t="shared" si="133"/>
        <v>520.34444941368008</v>
      </c>
      <c r="AC136" s="315">
        <f t="shared" si="134"/>
        <v>65.600000000000009</v>
      </c>
      <c r="AD136" s="315"/>
      <c r="AE136" s="316">
        <v>520.36012640000013</v>
      </c>
      <c r="AF136" s="268">
        <v>7.7399999999999993</v>
      </c>
      <c r="AG136" s="323">
        <f t="shared" si="120"/>
        <v>12.61</v>
      </c>
      <c r="AH136" s="317"/>
      <c r="AI136" s="330"/>
      <c r="AJ136" s="132">
        <f t="shared" si="118"/>
        <v>0.6878714922992184</v>
      </c>
      <c r="AK136" s="325">
        <v>57.079576430989142</v>
      </c>
      <c r="AL136" s="151">
        <f t="shared" si="121"/>
        <v>452.9799999999999</v>
      </c>
      <c r="AM136" s="151"/>
      <c r="AN136" s="326"/>
      <c r="AO136" s="331"/>
      <c r="AP136" s="325">
        <v>-4.99</v>
      </c>
      <c r="AQ136" s="323">
        <f t="shared" si="117"/>
        <v>-0.22000000000000064</v>
      </c>
      <c r="AR136" s="318">
        <v>0</v>
      </c>
      <c r="AS136" s="161">
        <v>0</v>
      </c>
      <c r="AT136" s="316">
        <f t="shared" si="135"/>
        <v>82.980000000000018</v>
      </c>
      <c r="AU136" s="316">
        <f t="shared" si="136"/>
        <v>658.52416486386016</v>
      </c>
      <c r="AV136" s="316">
        <f t="shared" si="137"/>
        <v>658.52416486386016</v>
      </c>
      <c r="AW136" s="159"/>
      <c r="AX136" s="318">
        <v>0</v>
      </c>
      <c r="AY136" s="161">
        <v>0</v>
      </c>
      <c r="AZ136" s="316">
        <f t="shared" si="138"/>
        <v>82.980000000000018</v>
      </c>
      <c r="BA136" s="316">
        <f t="shared" si="139"/>
        <v>658.52416486386016</v>
      </c>
      <c r="BB136" s="316">
        <f t="shared" si="140"/>
        <v>658.52416486386016</v>
      </c>
      <c r="BC136" s="159"/>
      <c r="BD136" s="318">
        <v>0</v>
      </c>
      <c r="BE136" s="161">
        <v>0</v>
      </c>
      <c r="BF136" s="316">
        <f t="shared" si="141"/>
        <v>82.980000000000018</v>
      </c>
      <c r="BG136" s="316">
        <f t="shared" si="142"/>
        <v>658.52416486386016</v>
      </c>
      <c r="BH136" s="316">
        <f t="shared" si="143"/>
        <v>658.52416486386016</v>
      </c>
      <c r="BI136" s="159"/>
      <c r="BJ136" s="318">
        <v>0</v>
      </c>
      <c r="BK136" s="161">
        <v>0</v>
      </c>
      <c r="BL136" s="316">
        <f t="shared" si="144"/>
        <v>82.980000000000018</v>
      </c>
      <c r="BM136" s="316">
        <f t="shared" si="145"/>
        <v>658.52416486386016</v>
      </c>
      <c r="BN136" s="316">
        <f t="shared" si="146"/>
        <v>658.52416486386016</v>
      </c>
      <c r="BO136" s="159"/>
      <c r="BP136" s="349">
        <f t="shared" si="130"/>
        <v>-17.13</v>
      </c>
      <c r="BQ136" s="318"/>
      <c r="BR136" s="318"/>
      <c r="BS136" s="267" t="s">
        <v>114</v>
      </c>
      <c r="BT136" s="145" t="s">
        <v>114</v>
      </c>
      <c r="BU136" s="145" t="s">
        <v>114</v>
      </c>
      <c r="BV136" s="332"/>
      <c r="BW136" s="318"/>
      <c r="BX136" s="318"/>
      <c r="BY136" s="267" t="s">
        <v>114</v>
      </c>
      <c r="BZ136" s="145" t="s">
        <v>114</v>
      </c>
      <c r="CA136" s="145" t="s">
        <v>114</v>
      </c>
    </row>
    <row r="137" spans="2:79" x14ac:dyDescent="0.25">
      <c r="B137" s="287">
        <v>44593</v>
      </c>
      <c r="C137" s="165">
        <f t="shared" si="122"/>
        <v>28</v>
      </c>
      <c r="D137" s="288">
        <v>91.63</v>
      </c>
      <c r="E137" s="335">
        <v>1.2712000000000001</v>
      </c>
      <c r="F137" s="288">
        <v>-2.4</v>
      </c>
      <c r="G137" s="172">
        <v>-0.80330621960000004</v>
      </c>
      <c r="H137" s="288">
        <f t="shared" si="131"/>
        <v>89.129580400433255</v>
      </c>
      <c r="I137" s="288">
        <f t="shared" si="132"/>
        <v>712.99175255551995</v>
      </c>
      <c r="J137" s="288">
        <f t="shared" si="123"/>
        <v>713.79505877511997</v>
      </c>
      <c r="K137" s="171">
        <f t="shared" si="124"/>
        <v>0.97380770490014179</v>
      </c>
      <c r="L137" s="172">
        <f t="shared" si="119"/>
        <v>4.6500000000000004</v>
      </c>
      <c r="M137" s="288">
        <v>2.25</v>
      </c>
      <c r="N137" s="290">
        <f t="shared" si="125"/>
        <v>93.136037008084415</v>
      </c>
      <c r="O137" s="288">
        <f t="shared" si="126"/>
        <v>745.04138754081998</v>
      </c>
      <c r="P137" s="290">
        <f t="shared" si="127"/>
        <v>750.99271677471995</v>
      </c>
      <c r="Q137" s="291"/>
      <c r="R137" s="292"/>
      <c r="S137" s="291"/>
      <c r="T137" s="288">
        <f t="shared" si="128"/>
        <v>727.04252076682008</v>
      </c>
      <c r="U137" s="293">
        <f t="shared" si="129"/>
        <v>732.99385000072004</v>
      </c>
      <c r="V137" s="291"/>
      <c r="W137" s="292"/>
      <c r="X137" s="294">
        <v>-5.9513292339000001</v>
      </c>
      <c r="Y137" s="333">
        <v>0.28999999999999998</v>
      </c>
      <c r="Z137" s="296"/>
      <c r="AA137" s="290">
        <v>-12.53</v>
      </c>
      <c r="AB137" s="288">
        <f t="shared" si="133"/>
        <v>632.45252221115993</v>
      </c>
      <c r="AC137" s="319">
        <f t="shared" si="134"/>
        <v>79.099999999999994</v>
      </c>
      <c r="AD137" s="319"/>
      <c r="AE137" s="278">
        <v>632.47655219000001</v>
      </c>
      <c r="AF137" s="279">
        <v>7.5</v>
      </c>
      <c r="AG137" s="288">
        <f t="shared" si="120"/>
        <v>10.129999999999999</v>
      </c>
      <c r="AH137" s="291"/>
      <c r="AI137" s="297"/>
      <c r="AJ137" s="171">
        <f t="shared" si="118"/>
        <v>0.63540278839644504</v>
      </c>
      <c r="AK137" s="290">
        <v>58.221957500766258</v>
      </c>
      <c r="AL137" s="190">
        <f t="shared" si="121"/>
        <v>465.74633616790311</v>
      </c>
      <c r="AM137" s="190"/>
      <c r="AN137" s="292"/>
      <c r="AO137" s="298"/>
      <c r="AP137" s="290">
        <v>-2.19</v>
      </c>
      <c r="AQ137" s="288">
        <f t="shared" si="117"/>
        <v>0.20999999999999996</v>
      </c>
      <c r="AR137" s="284">
        <v>0</v>
      </c>
      <c r="AS137" s="200">
        <v>0</v>
      </c>
      <c r="AT137" s="278">
        <f t="shared" si="135"/>
        <v>91.63</v>
      </c>
      <c r="AU137" s="278">
        <f t="shared" si="136"/>
        <v>732.99385000072004</v>
      </c>
      <c r="AV137" s="278">
        <f t="shared" si="137"/>
        <v>732.99385000072004</v>
      </c>
      <c r="AW137" s="198"/>
      <c r="AX137" s="284">
        <v>0</v>
      </c>
      <c r="AY137" s="200">
        <v>0</v>
      </c>
      <c r="AZ137" s="278">
        <f t="shared" si="138"/>
        <v>91.63</v>
      </c>
      <c r="BA137" s="278">
        <f t="shared" si="139"/>
        <v>732.99385000072004</v>
      </c>
      <c r="BB137" s="278">
        <f t="shared" si="140"/>
        <v>732.99385000072004</v>
      </c>
      <c r="BC137" s="198"/>
      <c r="BD137" s="284">
        <v>0</v>
      </c>
      <c r="BE137" s="200">
        <v>0</v>
      </c>
      <c r="BF137" s="278">
        <f t="shared" si="141"/>
        <v>91.63</v>
      </c>
      <c r="BG137" s="278">
        <f t="shared" si="142"/>
        <v>732.99385000072004</v>
      </c>
      <c r="BH137" s="278">
        <f t="shared" si="143"/>
        <v>732.99385000072004</v>
      </c>
      <c r="BI137" s="198"/>
      <c r="BJ137" s="284">
        <v>0</v>
      </c>
      <c r="BK137" s="200">
        <v>0</v>
      </c>
      <c r="BL137" s="278">
        <f t="shared" si="144"/>
        <v>91.63</v>
      </c>
      <c r="BM137" s="278">
        <f t="shared" si="145"/>
        <v>732.99385000072004</v>
      </c>
      <c r="BN137" s="278">
        <f t="shared" si="146"/>
        <v>732.99385000072004</v>
      </c>
      <c r="BO137" s="198"/>
      <c r="BP137" s="342">
        <f t="shared" si="130"/>
        <v>-12.28</v>
      </c>
      <c r="BQ137" s="284"/>
      <c r="BR137" s="284"/>
      <c r="BS137" s="285" t="s">
        <v>114</v>
      </c>
      <c r="BT137" s="183" t="s">
        <v>114</v>
      </c>
      <c r="BU137" s="183" t="s">
        <v>114</v>
      </c>
      <c r="BV137" s="299"/>
      <c r="BW137" s="284"/>
      <c r="BX137" s="284"/>
      <c r="BY137" s="285" t="s">
        <v>114</v>
      </c>
      <c r="BZ137" s="183" t="s">
        <v>114</v>
      </c>
      <c r="CA137" s="183" t="s">
        <v>114</v>
      </c>
    </row>
    <row r="138" spans="2:79" x14ac:dyDescent="0.25">
      <c r="B138" s="287">
        <v>44621</v>
      </c>
      <c r="C138" s="165">
        <f t="shared" si="122"/>
        <v>31</v>
      </c>
      <c r="D138" s="288">
        <v>108.26</v>
      </c>
      <c r="E138" s="335">
        <v>1.26613</v>
      </c>
      <c r="F138" s="288">
        <v>-1.71</v>
      </c>
      <c r="G138" s="172">
        <v>-0.33054301219999999</v>
      </c>
      <c r="H138" s="288">
        <f t="shared" si="131"/>
        <v>106.50851406130873</v>
      </c>
      <c r="I138" s="288">
        <f t="shared" si="132"/>
        <v>848.61633057760514</v>
      </c>
      <c r="J138" s="288">
        <f t="shared" si="123"/>
        <v>848.94687358980514</v>
      </c>
      <c r="K138" s="171">
        <f t="shared" si="124"/>
        <v>0.98420469240716801</v>
      </c>
      <c r="L138" s="172">
        <f t="shared" si="119"/>
        <v>3.87</v>
      </c>
      <c r="M138" s="288">
        <v>2.16</v>
      </c>
      <c r="N138" s="290">
        <f t="shared" si="125"/>
        <v>109.85747706698048</v>
      </c>
      <c r="O138" s="288">
        <f t="shared" si="126"/>
        <v>875.29949973230191</v>
      </c>
      <c r="P138" s="290">
        <f t="shared" si="127"/>
        <v>879.78145266810191</v>
      </c>
      <c r="Q138" s="291"/>
      <c r="R138" s="292"/>
      <c r="S138" s="291"/>
      <c r="T138" s="288">
        <f t="shared" si="128"/>
        <v>858.08950210720604</v>
      </c>
      <c r="U138" s="293">
        <f t="shared" si="129"/>
        <v>862.57145504300604</v>
      </c>
      <c r="V138" s="291"/>
      <c r="W138" s="292"/>
      <c r="X138" s="294">
        <v>-4.4819529357999999</v>
      </c>
      <c r="Y138" s="333">
        <v>0.3</v>
      </c>
      <c r="Z138" s="296"/>
      <c r="AA138" s="290">
        <v>-13.69</v>
      </c>
      <c r="AB138" s="288">
        <f t="shared" si="133"/>
        <v>753.12878935427807</v>
      </c>
      <c r="AC138" s="319">
        <f t="shared" si="134"/>
        <v>94.570000000000007</v>
      </c>
      <c r="AD138" s="319"/>
      <c r="AE138" s="278">
        <v>753.1514796890001</v>
      </c>
      <c r="AF138" s="279">
        <v>7.5</v>
      </c>
      <c r="AG138" s="288">
        <f t="shared" si="120"/>
        <v>11.98</v>
      </c>
      <c r="AH138" s="291"/>
      <c r="AI138" s="297"/>
      <c r="AJ138" s="171">
        <f t="shared" si="118"/>
        <v>0.56656175803503084</v>
      </c>
      <c r="AK138" s="290">
        <v>61.335975924872443</v>
      </c>
      <c r="AL138" s="190">
        <f t="shared" si="121"/>
        <v>488.70000000000005</v>
      </c>
      <c r="AM138" s="190"/>
      <c r="AN138" s="292"/>
      <c r="AO138" s="298"/>
      <c r="AP138" s="290">
        <v>-1.28</v>
      </c>
      <c r="AQ138" s="288">
        <f t="shared" si="117"/>
        <v>0.42999999999999994</v>
      </c>
      <c r="AR138" s="284">
        <v>0</v>
      </c>
      <c r="AS138" s="200">
        <v>0</v>
      </c>
      <c r="AT138" s="278">
        <f t="shared" si="135"/>
        <v>108.25999999999999</v>
      </c>
      <c r="AU138" s="278">
        <f t="shared" si="136"/>
        <v>862.57145504300593</v>
      </c>
      <c r="AV138" s="278">
        <f t="shared" si="137"/>
        <v>862.57145504300593</v>
      </c>
      <c r="AW138" s="198"/>
      <c r="AX138" s="284">
        <v>0</v>
      </c>
      <c r="AY138" s="200">
        <v>0</v>
      </c>
      <c r="AZ138" s="278">
        <f t="shared" si="138"/>
        <v>108.25999999999999</v>
      </c>
      <c r="BA138" s="278">
        <f t="shared" si="139"/>
        <v>862.57145504300593</v>
      </c>
      <c r="BB138" s="278">
        <f t="shared" si="140"/>
        <v>862.57145504300593</v>
      </c>
      <c r="BC138" s="198"/>
      <c r="BD138" s="284">
        <v>0</v>
      </c>
      <c r="BE138" s="200">
        <v>0</v>
      </c>
      <c r="BF138" s="278">
        <f t="shared" si="141"/>
        <v>108.25999999999999</v>
      </c>
      <c r="BG138" s="278">
        <f t="shared" si="142"/>
        <v>862.57145504300593</v>
      </c>
      <c r="BH138" s="278">
        <f t="shared" si="143"/>
        <v>862.57145504300593</v>
      </c>
      <c r="BI138" s="198"/>
      <c r="BJ138" s="284">
        <v>0</v>
      </c>
      <c r="BK138" s="200">
        <v>0</v>
      </c>
      <c r="BL138" s="278">
        <f t="shared" si="144"/>
        <v>108.25999999999999</v>
      </c>
      <c r="BM138" s="278">
        <f t="shared" si="145"/>
        <v>862.57145504300593</v>
      </c>
      <c r="BN138" s="278">
        <f t="shared" si="146"/>
        <v>862.57145504300593</v>
      </c>
      <c r="BO138" s="198"/>
      <c r="BP138" s="342">
        <f t="shared" si="130"/>
        <v>-13.44</v>
      </c>
      <c r="BQ138" s="284"/>
      <c r="BR138" s="284"/>
      <c r="BS138" s="285" t="s">
        <v>114</v>
      </c>
      <c r="BT138" s="183" t="s">
        <v>114</v>
      </c>
      <c r="BU138" s="183" t="s">
        <v>114</v>
      </c>
      <c r="BV138" s="299"/>
      <c r="BW138" s="284"/>
      <c r="BX138" s="284"/>
      <c r="BY138" s="285" t="s">
        <v>114</v>
      </c>
      <c r="BZ138" s="183" t="s">
        <v>114</v>
      </c>
      <c r="CA138" s="183" t="s">
        <v>114</v>
      </c>
    </row>
    <row r="139" spans="2:79" x14ac:dyDescent="0.25">
      <c r="B139" s="287">
        <v>44652</v>
      </c>
      <c r="C139" s="165">
        <f t="shared" si="122"/>
        <v>30</v>
      </c>
      <c r="D139" s="288">
        <v>101.64</v>
      </c>
      <c r="E139" s="335">
        <v>1.2629999999999999</v>
      </c>
      <c r="F139" s="288">
        <v>0.61</v>
      </c>
      <c r="G139" s="172">
        <v>-0.1411</v>
      </c>
      <c r="H139" s="288">
        <f t="shared" si="131"/>
        <v>102.23224687123154</v>
      </c>
      <c r="I139" s="288">
        <f t="shared" si="132"/>
        <v>812.53114432249981</v>
      </c>
      <c r="J139" s="288">
        <f t="shared" si="123"/>
        <v>812.67224432249986</v>
      </c>
      <c r="K139" s="171">
        <f t="shared" si="124"/>
        <v>1.0060015741833923</v>
      </c>
      <c r="L139" s="172">
        <f t="shared" si="119"/>
        <v>3.31</v>
      </c>
      <c r="M139" s="288">
        <v>3.92</v>
      </c>
      <c r="N139" s="290">
        <f t="shared" si="125"/>
        <v>105.14353751790534</v>
      </c>
      <c r="O139" s="288">
        <f t="shared" si="126"/>
        <v>835.66977614360007</v>
      </c>
      <c r="P139" s="290">
        <f t="shared" si="127"/>
        <v>838.97977614360002</v>
      </c>
      <c r="Q139" s="291"/>
      <c r="R139" s="292"/>
      <c r="S139" s="291"/>
      <c r="T139" s="288">
        <f t="shared" si="128"/>
        <v>804.51402848839996</v>
      </c>
      <c r="U139" s="293">
        <f t="shared" si="129"/>
        <v>807.8240284883999</v>
      </c>
      <c r="V139" s="291"/>
      <c r="W139" s="292"/>
      <c r="X139" s="294">
        <v>-3.31</v>
      </c>
      <c r="Y139" s="333">
        <v>0.31</v>
      </c>
      <c r="Z139" s="296"/>
      <c r="AA139" s="290">
        <v>-12.58</v>
      </c>
      <c r="AB139" s="288">
        <f t="shared" si="133"/>
        <v>707.49537071318991</v>
      </c>
      <c r="AC139" s="319">
        <f t="shared" si="134"/>
        <v>89.06</v>
      </c>
      <c r="AD139" s="319"/>
      <c r="AE139" s="278">
        <v>707.51668619999998</v>
      </c>
      <c r="AF139" s="279">
        <v>8</v>
      </c>
      <c r="AG139" s="288">
        <f t="shared" si="120"/>
        <v>13.19</v>
      </c>
      <c r="AH139" s="291"/>
      <c r="AI139" s="297"/>
      <c r="AJ139" s="171">
        <f t="shared" si="118"/>
        <v>0.6618644421860963</v>
      </c>
      <c r="AK139" s="290">
        <v>67.271901903794827</v>
      </c>
      <c r="AL139" s="190">
        <f t="shared" si="121"/>
        <v>534.66999999999996</v>
      </c>
      <c r="AM139" s="190"/>
      <c r="AN139" s="292"/>
      <c r="AO139" s="298"/>
      <c r="AP139" s="290">
        <v>0.87</v>
      </c>
      <c r="AQ139" s="288">
        <f t="shared" si="117"/>
        <v>0.26</v>
      </c>
      <c r="AR139" s="284">
        <v>0</v>
      </c>
      <c r="AS139" s="200">
        <v>0</v>
      </c>
      <c r="AT139" s="278">
        <f t="shared" si="135"/>
        <v>101.64</v>
      </c>
      <c r="AU139" s="278">
        <f t="shared" si="136"/>
        <v>807.8240284883999</v>
      </c>
      <c r="AV139" s="278">
        <f t="shared" si="137"/>
        <v>807.8240284883999</v>
      </c>
      <c r="AW139" s="198"/>
      <c r="AX139" s="284">
        <v>0</v>
      </c>
      <c r="AY139" s="200">
        <v>0</v>
      </c>
      <c r="AZ139" s="278">
        <f t="shared" si="138"/>
        <v>101.64</v>
      </c>
      <c r="BA139" s="278">
        <f t="shared" si="139"/>
        <v>807.8240284883999</v>
      </c>
      <c r="BB139" s="278">
        <f t="shared" si="140"/>
        <v>807.8240284883999</v>
      </c>
      <c r="BC139" s="198"/>
      <c r="BD139" s="284">
        <v>0</v>
      </c>
      <c r="BE139" s="200">
        <v>0</v>
      </c>
      <c r="BF139" s="278">
        <f t="shared" si="141"/>
        <v>101.64</v>
      </c>
      <c r="BG139" s="278">
        <f t="shared" si="142"/>
        <v>807.8240284883999</v>
      </c>
      <c r="BH139" s="278">
        <f t="shared" si="143"/>
        <v>807.8240284883999</v>
      </c>
      <c r="BI139" s="198"/>
      <c r="BJ139" s="284">
        <v>0</v>
      </c>
      <c r="BK139" s="200">
        <v>0</v>
      </c>
      <c r="BL139" s="278">
        <f t="shared" si="144"/>
        <v>101.64</v>
      </c>
      <c r="BM139" s="278">
        <f t="shared" si="145"/>
        <v>807.8240284883999</v>
      </c>
      <c r="BN139" s="278">
        <f t="shared" si="146"/>
        <v>807.8240284883999</v>
      </c>
      <c r="BO139" s="198"/>
      <c r="BP139" s="342">
        <f t="shared" si="130"/>
        <v>-12.33</v>
      </c>
      <c r="BQ139" s="284"/>
      <c r="BR139" s="284"/>
      <c r="BS139" s="285" t="s">
        <v>114</v>
      </c>
      <c r="BT139" s="183" t="s">
        <v>114</v>
      </c>
      <c r="BU139" s="183" t="s">
        <v>114</v>
      </c>
      <c r="BV139" s="299"/>
      <c r="BW139" s="284"/>
      <c r="BX139" s="284"/>
      <c r="BY139" s="285" t="s">
        <v>114</v>
      </c>
      <c r="BZ139" s="183" t="s">
        <v>114</v>
      </c>
      <c r="CA139" s="183" t="s">
        <v>114</v>
      </c>
    </row>
    <row r="140" spans="2:79" x14ac:dyDescent="0.25">
      <c r="B140" s="287">
        <v>44682</v>
      </c>
      <c r="C140" s="165">
        <f t="shared" si="122"/>
        <v>31</v>
      </c>
      <c r="D140" s="288">
        <v>109.26</v>
      </c>
      <c r="E140" s="335">
        <v>1.2854000000000001</v>
      </c>
      <c r="F140" s="288">
        <v>-0.9</v>
      </c>
      <c r="G140" s="172">
        <v>7.3081757999999997E-2</v>
      </c>
      <c r="H140" s="288">
        <f t="shared" si="131"/>
        <v>108.36903487046246</v>
      </c>
      <c r="I140" s="288">
        <f t="shared" si="132"/>
        <v>876.58142017727994</v>
      </c>
      <c r="J140" s="288">
        <f t="shared" si="123"/>
        <v>876.50833841927999</v>
      </c>
      <c r="K140" s="171">
        <f t="shared" si="124"/>
        <v>0.99176276771004934</v>
      </c>
      <c r="L140" s="172">
        <f t="shared" si="119"/>
        <v>0.79</v>
      </c>
      <c r="M140" s="288">
        <v>-0.11</v>
      </c>
      <c r="N140" s="290">
        <f t="shared" si="125"/>
        <v>108.67392689692858</v>
      </c>
      <c r="O140" s="288">
        <f t="shared" si="126"/>
        <v>879.04764759990007</v>
      </c>
      <c r="P140" s="290">
        <f t="shared" si="127"/>
        <v>882.89853394670013</v>
      </c>
      <c r="Q140" s="291"/>
      <c r="R140" s="292"/>
      <c r="S140" s="291"/>
      <c r="T140" s="288">
        <f t="shared" si="128"/>
        <v>879.93742166068012</v>
      </c>
      <c r="U140" s="293">
        <f t="shared" si="129"/>
        <v>883.78830800748017</v>
      </c>
      <c r="V140" s="291"/>
      <c r="W140" s="292"/>
      <c r="X140" s="294">
        <v>-3.8508863467999999</v>
      </c>
      <c r="Y140" s="333">
        <v>0.22</v>
      </c>
      <c r="Z140" s="296"/>
      <c r="AA140" s="290">
        <v>-12.66</v>
      </c>
      <c r="AB140" s="288">
        <f t="shared" si="133"/>
        <v>781.0035054532201</v>
      </c>
      <c r="AC140" s="319">
        <f t="shared" si="134"/>
        <v>96.600000000000009</v>
      </c>
      <c r="AD140" s="319"/>
      <c r="AE140" s="278">
        <v>781.01128162197006</v>
      </c>
      <c r="AF140" s="279">
        <v>10.53</v>
      </c>
      <c r="AG140" s="288">
        <f t="shared" si="120"/>
        <v>11.76</v>
      </c>
      <c r="AH140" s="291"/>
      <c r="AI140" s="297"/>
      <c r="AJ140" s="171">
        <f t="shared" si="118"/>
        <v>0.64519473581998765</v>
      </c>
      <c r="AK140" s="290">
        <v>70.493976835691853</v>
      </c>
      <c r="AL140" s="190">
        <f t="shared" si="121"/>
        <v>570.21556390567991</v>
      </c>
      <c r="AM140" s="190"/>
      <c r="AN140" s="292"/>
      <c r="AO140" s="298"/>
      <c r="AP140" s="290">
        <v>-1.08</v>
      </c>
      <c r="AQ140" s="288">
        <f t="shared" si="117"/>
        <v>-0.18000000000000005</v>
      </c>
      <c r="AR140" s="284">
        <v>0</v>
      </c>
      <c r="AS140" s="200">
        <v>0</v>
      </c>
      <c r="AT140" s="278">
        <f t="shared" si="135"/>
        <v>109.26</v>
      </c>
      <c r="AU140" s="278">
        <f t="shared" si="136"/>
        <v>883.78830800748005</v>
      </c>
      <c r="AV140" s="278">
        <f t="shared" si="137"/>
        <v>883.78830800748005</v>
      </c>
      <c r="AW140" s="198"/>
      <c r="AX140" s="284">
        <v>0</v>
      </c>
      <c r="AY140" s="200">
        <v>0</v>
      </c>
      <c r="AZ140" s="278">
        <f t="shared" si="138"/>
        <v>109.26</v>
      </c>
      <c r="BA140" s="278">
        <f t="shared" si="139"/>
        <v>883.78830800748005</v>
      </c>
      <c r="BB140" s="278">
        <f t="shared" si="140"/>
        <v>883.78830800748005</v>
      </c>
      <c r="BC140" s="198"/>
      <c r="BD140" s="284">
        <v>0</v>
      </c>
      <c r="BE140" s="200">
        <v>0</v>
      </c>
      <c r="BF140" s="278">
        <f t="shared" si="141"/>
        <v>109.26</v>
      </c>
      <c r="BG140" s="278">
        <f t="shared" si="142"/>
        <v>883.78830800748005</v>
      </c>
      <c r="BH140" s="278">
        <f t="shared" si="143"/>
        <v>883.78830800748005</v>
      </c>
      <c r="BI140" s="198"/>
      <c r="BJ140" s="284">
        <v>0</v>
      </c>
      <c r="BK140" s="200">
        <v>0</v>
      </c>
      <c r="BL140" s="278">
        <f t="shared" si="144"/>
        <v>109.26</v>
      </c>
      <c r="BM140" s="278">
        <f t="shared" si="145"/>
        <v>883.78830800748005</v>
      </c>
      <c r="BN140" s="278">
        <f t="shared" si="146"/>
        <v>883.78830800748005</v>
      </c>
      <c r="BO140" s="198"/>
      <c r="BP140" s="342">
        <f t="shared" si="130"/>
        <v>-12.41</v>
      </c>
      <c r="BQ140" s="284"/>
      <c r="BR140" s="284"/>
      <c r="BS140" s="285" t="s">
        <v>114</v>
      </c>
      <c r="BT140" s="183" t="s">
        <v>114</v>
      </c>
      <c r="BU140" s="183" t="s">
        <v>114</v>
      </c>
      <c r="BV140" s="299"/>
      <c r="BW140" s="284"/>
      <c r="BX140" s="284"/>
      <c r="BY140" s="285" t="s">
        <v>114</v>
      </c>
      <c r="BZ140" s="183" t="s">
        <v>114</v>
      </c>
      <c r="CA140" s="183" t="s">
        <v>114</v>
      </c>
    </row>
    <row r="141" spans="2:79" x14ac:dyDescent="0.25">
      <c r="B141" s="287">
        <v>44713</v>
      </c>
      <c r="C141" s="165">
        <f t="shared" si="122"/>
        <v>30</v>
      </c>
      <c r="D141" s="288">
        <v>114.34</v>
      </c>
      <c r="E141" s="335">
        <v>1.2813000000000001</v>
      </c>
      <c r="F141" s="288">
        <v>-1.22</v>
      </c>
      <c r="G141" s="172">
        <v>0.87365847730000001</v>
      </c>
      <c r="H141" s="288">
        <f t="shared" si="131"/>
        <v>113.22835329162315</v>
      </c>
      <c r="I141" s="288">
        <f t="shared" si="132"/>
        <v>912.9663644000201</v>
      </c>
      <c r="J141" s="288">
        <f t="shared" si="123"/>
        <v>912.09270592272014</v>
      </c>
      <c r="K141" s="171">
        <f t="shared" si="124"/>
        <v>0.98933006821759661</v>
      </c>
      <c r="L141" s="172">
        <f t="shared" si="119"/>
        <v>-2.8100000000000005</v>
      </c>
      <c r="M141" s="288">
        <v>-4.03</v>
      </c>
      <c r="N141" s="290">
        <f t="shared" si="125"/>
        <v>109.73980279304037</v>
      </c>
      <c r="O141" s="288">
        <f t="shared" si="126"/>
        <v>884.83799219350999</v>
      </c>
      <c r="P141" s="290">
        <f t="shared" si="127"/>
        <v>889.43552325260998</v>
      </c>
      <c r="Q141" s="291"/>
      <c r="R141" s="292"/>
      <c r="S141" s="291"/>
      <c r="T141" s="288">
        <f t="shared" si="128"/>
        <v>917.33210114744008</v>
      </c>
      <c r="U141" s="293">
        <f t="shared" si="129"/>
        <v>921.92963220654008</v>
      </c>
      <c r="V141" s="291"/>
      <c r="W141" s="292"/>
      <c r="X141" s="294">
        <v>-4.5975310590999996</v>
      </c>
      <c r="Y141" s="333">
        <v>0.15</v>
      </c>
      <c r="Z141" s="296"/>
      <c r="AA141" s="290">
        <v>-13.17</v>
      </c>
      <c r="AB141" s="288">
        <f t="shared" si="133"/>
        <v>815.34260637157058</v>
      </c>
      <c r="AC141" s="319">
        <f t="shared" si="134"/>
        <v>101.17</v>
      </c>
      <c r="AD141" s="319"/>
      <c r="AE141" s="278">
        <v>815.41858388944001</v>
      </c>
      <c r="AF141" s="279">
        <v>14</v>
      </c>
      <c r="AG141" s="288">
        <f t="shared" si="120"/>
        <v>11.95</v>
      </c>
      <c r="AH141" s="291"/>
      <c r="AI141" s="297"/>
      <c r="AJ141" s="171">
        <f t="shared" si="118"/>
        <v>0.62049320337130776</v>
      </c>
      <c r="AK141" s="290">
        <v>70.947192873475331</v>
      </c>
      <c r="AL141" s="190">
        <f t="shared" si="121"/>
        <v>572.05107077076764</v>
      </c>
      <c r="AM141" s="171">
        <v>0.47499999999999998</v>
      </c>
      <c r="AN141" s="292"/>
      <c r="AO141" s="298"/>
      <c r="AP141" s="290">
        <v>-1.1399999999999999</v>
      </c>
      <c r="AQ141" s="288">
        <f t="shared" si="117"/>
        <v>8.0000000000000071E-2</v>
      </c>
      <c r="AR141" s="284">
        <v>0</v>
      </c>
      <c r="AS141" s="200">
        <v>0</v>
      </c>
      <c r="AT141" s="278">
        <f t="shared" si="135"/>
        <v>114.34000000000002</v>
      </c>
      <c r="AU141" s="278">
        <f t="shared" si="136"/>
        <v>921.92963220654019</v>
      </c>
      <c r="AV141" s="278">
        <f t="shared" si="137"/>
        <v>921.92963220654019</v>
      </c>
      <c r="AW141" s="198"/>
      <c r="AX141" s="284">
        <v>0</v>
      </c>
      <c r="AY141" s="200">
        <v>0</v>
      </c>
      <c r="AZ141" s="278">
        <f t="shared" si="138"/>
        <v>114.34000000000002</v>
      </c>
      <c r="BA141" s="278">
        <f t="shared" si="139"/>
        <v>921.92963220654019</v>
      </c>
      <c r="BB141" s="278">
        <f t="shared" si="140"/>
        <v>921.92963220654019</v>
      </c>
      <c r="BC141" s="198"/>
      <c r="BD141" s="284">
        <v>0</v>
      </c>
      <c r="BE141" s="200">
        <v>0</v>
      </c>
      <c r="BF141" s="278">
        <f t="shared" si="141"/>
        <v>114.34000000000002</v>
      </c>
      <c r="BG141" s="278">
        <f t="shared" si="142"/>
        <v>921.92963220654019</v>
      </c>
      <c r="BH141" s="278">
        <f t="shared" si="143"/>
        <v>921.92963220654019</v>
      </c>
      <c r="BI141" s="198"/>
      <c r="BJ141" s="284">
        <v>0</v>
      </c>
      <c r="BK141" s="200">
        <v>0</v>
      </c>
      <c r="BL141" s="278">
        <f t="shared" si="144"/>
        <v>114.34000000000002</v>
      </c>
      <c r="BM141" s="278">
        <f t="shared" si="145"/>
        <v>921.92963220654019</v>
      </c>
      <c r="BN141" s="278">
        <f t="shared" si="146"/>
        <v>921.92963220654019</v>
      </c>
      <c r="BO141" s="198"/>
      <c r="BP141" s="342">
        <f t="shared" si="130"/>
        <v>-12.92</v>
      </c>
      <c r="BQ141" s="284"/>
      <c r="BR141" s="284"/>
      <c r="BS141" s="285" t="s">
        <v>114</v>
      </c>
      <c r="BT141" s="183" t="s">
        <v>114</v>
      </c>
      <c r="BU141" s="183" t="s">
        <v>114</v>
      </c>
      <c r="BV141" s="299"/>
      <c r="BW141" s="284"/>
      <c r="BX141" s="284"/>
      <c r="BY141" s="285" t="s">
        <v>114</v>
      </c>
      <c r="BZ141" s="183" t="s">
        <v>114</v>
      </c>
      <c r="CA141" s="183" t="s">
        <v>114</v>
      </c>
    </row>
    <row r="142" spans="2:79" x14ac:dyDescent="0.25">
      <c r="B142" s="287">
        <v>44743</v>
      </c>
      <c r="C142" s="165">
        <f t="shared" si="122"/>
        <v>31</v>
      </c>
      <c r="D142" s="288">
        <v>99.38</v>
      </c>
      <c r="E142" s="335">
        <v>1.29358</v>
      </c>
      <c r="F142" s="288">
        <v>-2.0299999999999998</v>
      </c>
      <c r="G142" s="172">
        <v>-2.1865791799999999E-2</v>
      </c>
      <c r="H142" s="288">
        <f t="shared" si="131"/>
        <v>97.347313893942967</v>
      </c>
      <c r="I142" s="288">
        <f t="shared" si="132"/>
        <v>792.43933511550995</v>
      </c>
      <c r="J142" s="288">
        <f t="shared" si="123"/>
        <v>792.46120090730994</v>
      </c>
      <c r="K142" s="171">
        <f t="shared" si="124"/>
        <v>0.97957335479975849</v>
      </c>
      <c r="L142" s="172">
        <f t="shared" si="119"/>
        <v>-4.870000000000001</v>
      </c>
      <c r="M142" s="288">
        <v>-6.9</v>
      </c>
      <c r="N142" s="290">
        <f t="shared" si="125"/>
        <v>92.077436505869613</v>
      </c>
      <c r="O142" s="288">
        <f t="shared" si="126"/>
        <v>749.54079003500783</v>
      </c>
      <c r="P142" s="290">
        <f t="shared" si="127"/>
        <v>752.81779003500787</v>
      </c>
      <c r="Q142" s="291"/>
      <c r="R142" s="292"/>
      <c r="S142" s="291"/>
      <c r="T142" s="288">
        <f t="shared" si="128"/>
        <v>805.70907237974779</v>
      </c>
      <c r="U142" s="293">
        <f t="shared" si="129"/>
        <v>808.98607237974784</v>
      </c>
      <c r="V142" s="291"/>
      <c r="W142" s="292"/>
      <c r="X142" s="294">
        <v>-3.2770000000000001</v>
      </c>
      <c r="Y142" s="333">
        <v>0.23</v>
      </c>
      <c r="Z142" s="296"/>
      <c r="AA142" s="290">
        <v>-18.940000000000001</v>
      </c>
      <c r="AB142" s="288">
        <f t="shared" si="133"/>
        <v>654.48984947649956</v>
      </c>
      <c r="AC142" s="319">
        <f t="shared" si="134"/>
        <v>80.44</v>
      </c>
      <c r="AD142" s="319"/>
      <c r="AE142" s="278">
        <v>654.50956800799997</v>
      </c>
      <c r="AF142" s="279">
        <v>16.52</v>
      </c>
      <c r="AG142" s="288">
        <f t="shared" si="120"/>
        <v>16.91</v>
      </c>
      <c r="AH142" s="291"/>
      <c r="AI142" s="297"/>
      <c r="AJ142" s="171">
        <f t="shared" si="118"/>
        <v>0.58730306518425812</v>
      </c>
      <c r="AK142" s="290">
        <v>58.366178618011567</v>
      </c>
      <c r="AL142" s="190">
        <f t="shared" si="121"/>
        <v>475.12000000000006</v>
      </c>
      <c r="AM142" s="171"/>
      <c r="AN142" s="292"/>
      <c r="AO142" s="298"/>
      <c r="AP142" s="290">
        <v>-1.26</v>
      </c>
      <c r="AQ142" s="288">
        <f t="shared" si="117"/>
        <v>0.7699999999999998</v>
      </c>
      <c r="AR142" s="284">
        <v>0</v>
      </c>
      <c r="AS142" s="200">
        <v>0</v>
      </c>
      <c r="AT142" s="278">
        <f t="shared" si="135"/>
        <v>99.38000000000001</v>
      </c>
      <c r="AU142" s="278">
        <f t="shared" si="136"/>
        <v>808.98607237974795</v>
      </c>
      <c r="AV142" s="278">
        <f t="shared" si="137"/>
        <v>808.98607237974795</v>
      </c>
      <c r="AW142" s="198"/>
      <c r="AX142" s="284">
        <v>0</v>
      </c>
      <c r="AY142" s="200">
        <v>0</v>
      </c>
      <c r="AZ142" s="278">
        <f t="shared" si="138"/>
        <v>99.38000000000001</v>
      </c>
      <c r="BA142" s="278">
        <f t="shared" si="139"/>
        <v>808.98607237974795</v>
      </c>
      <c r="BB142" s="278">
        <f t="shared" si="140"/>
        <v>808.98607237974795</v>
      </c>
      <c r="BC142" s="198"/>
      <c r="BD142" s="284">
        <v>0</v>
      </c>
      <c r="BE142" s="200">
        <v>0</v>
      </c>
      <c r="BF142" s="278">
        <f t="shared" si="141"/>
        <v>99.38000000000001</v>
      </c>
      <c r="BG142" s="278">
        <f t="shared" si="142"/>
        <v>808.98607237974795</v>
      </c>
      <c r="BH142" s="278">
        <f t="shared" si="143"/>
        <v>808.98607237974795</v>
      </c>
      <c r="BI142" s="198"/>
      <c r="BJ142" s="284">
        <v>0</v>
      </c>
      <c r="BK142" s="200">
        <v>0</v>
      </c>
      <c r="BL142" s="278">
        <f t="shared" si="144"/>
        <v>99.38000000000001</v>
      </c>
      <c r="BM142" s="278">
        <f t="shared" si="145"/>
        <v>808.98607237974795</v>
      </c>
      <c r="BN142" s="278">
        <f t="shared" si="146"/>
        <v>808.98607237974795</v>
      </c>
      <c r="BO142" s="198"/>
      <c r="BP142" s="342">
        <f t="shared" si="130"/>
        <v>-18.690000000000001</v>
      </c>
      <c r="BQ142" s="284"/>
      <c r="BR142" s="284"/>
      <c r="BS142" s="285" t="s">
        <v>114</v>
      </c>
      <c r="BT142" s="183" t="s">
        <v>114</v>
      </c>
      <c r="BU142" s="183" t="s">
        <v>114</v>
      </c>
      <c r="BV142" s="299"/>
      <c r="BW142" s="284"/>
      <c r="BX142" s="284"/>
      <c r="BY142" s="285" t="s">
        <v>114</v>
      </c>
      <c r="BZ142" s="183" t="s">
        <v>114</v>
      </c>
      <c r="CA142" s="183" t="s">
        <v>114</v>
      </c>
    </row>
    <row r="143" spans="2:79" x14ac:dyDescent="0.25">
      <c r="B143" s="287">
        <v>44774</v>
      </c>
      <c r="C143" s="165">
        <f t="shared" si="122"/>
        <v>31</v>
      </c>
      <c r="D143" s="288">
        <v>91.48</v>
      </c>
      <c r="E143" s="335">
        <v>1.2922</v>
      </c>
      <c r="F143" s="288">
        <v>-2.54</v>
      </c>
      <c r="G143" s="172">
        <v>-2.3999999999999998E-3</v>
      </c>
      <c r="H143" s="288">
        <f t="shared" si="131"/>
        <v>88.93970485682496</v>
      </c>
      <c r="I143" s="288">
        <f t="shared" si="132"/>
        <v>723.22624984916001</v>
      </c>
      <c r="J143" s="288">
        <f t="shared" si="123"/>
        <v>723.22864984915998</v>
      </c>
      <c r="K143" s="171">
        <f t="shared" si="124"/>
        <v>0.97223436816790554</v>
      </c>
      <c r="L143" s="172">
        <f t="shared" si="119"/>
        <v>-1.35</v>
      </c>
      <c r="M143" s="288">
        <v>-3.89</v>
      </c>
      <c r="N143" s="290">
        <f t="shared" si="125"/>
        <v>86.802767068728912</v>
      </c>
      <c r="O143" s="288">
        <f t="shared" si="126"/>
        <v>705.84942692026004</v>
      </c>
      <c r="P143" s="290">
        <f t="shared" si="127"/>
        <v>712.2509269202601</v>
      </c>
      <c r="Q143" s="291"/>
      <c r="R143" s="292"/>
      <c r="S143" s="291"/>
      <c r="T143" s="288">
        <f t="shared" si="128"/>
        <v>737.48153224871999</v>
      </c>
      <c r="U143" s="293">
        <f t="shared" si="129"/>
        <v>743.88303224872004</v>
      </c>
      <c r="V143" s="291"/>
      <c r="W143" s="292"/>
      <c r="X143" s="294">
        <v>-6.4015000000000004</v>
      </c>
      <c r="Y143" s="333">
        <v>0.36</v>
      </c>
      <c r="Z143" s="296"/>
      <c r="AA143" s="290">
        <v>-21.03</v>
      </c>
      <c r="AB143" s="288">
        <f t="shared" si="133"/>
        <v>572.59598087464508</v>
      </c>
      <c r="AC143" s="319">
        <f t="shared" si="134"/>
        <v>70.45</v>
      </c>
      <c r="AD143" s="319"/>
      <c r="AE143" s="278">
        <v>572.6132321</v>
      </c>
      <c r="AF143" s="279">
        <v>18.260000000000002</v>
      </c>
      <c r="AG143" s="288">
        <f t="shared" si="120"/>
        <v>18.490000000000002</v>
      </c>
      <c r="AH143" s="291"/>
      <c r="AI143" s="297"/>
      <c r="AJ143" s="171">
        <f t="shared" si="118"/>
        <v>0.56639280872738973</v>
      </c>
      <c r="AK143" s="290">
        <v>51.813614142381617</v>
      </c>
      <c r="AL143" s="190">
        <f t="shared" si="121"/>
        <v>421.32999999999993</v>
      </c>
      <c r="AM143" s="171"/>
      <c r="AN143" s="292"/>
      <c r="AO143" s="298"/>
      <c r="AP143" s="290">
        <v>-2.35</v>
      </c>
      <c r="AQ143" s="288">
        <f t="shared" si="117"/>
        <v>0.18999999999999995</v>
      </c>
      <c r="AR143" s="284">
        <v>0</v>
      </c>
      <c r="AS143" s="200">
        <v>0</v>
      </c>
      <c r="AT143" s="278">
        <f t="shared" si="135"/>
        <v>91.480000000000018</v>
      </c>
      <c r="AU143" s="278">
        <f t="shared" si="136"/>
        <v>743.88303224872004</v>
      </c>
      <c r="AV143" s="278">
        <f t="shared" si="137"/>
        <v>743.88303224872004</v>
      </c>
      <c r="AW143" s="198"/>
      <c r="AX143" s="284">
        <v>0</v>
      </c>
      <c r="AY143" s="200">
        <v>0</v>
      </c>
      <c r="AZ143" s="278">
        <f t="shared" si="138"/>
        <v>91.480000000000018</v>
      </c>
      <c r="BA143" s="278">
        <f t="shared" si="139"/>
        <v>743.88303224872004</v>
      </c>
      <c r="BB143" s="278">
        <f t="shared" si="140"/>
        <v>743.88303224872004</v>
      </c>
      <c r="BC143" s="198"/>
      <c r="BD143" s="284">
        <v>0</v>
      </c>
      <c r="BE143" s="200">
        <v>0</v>
      </c>
      <c r="BF143" s="278">
        <f t="shared" si="141"/>
        <v>91.480000000000018</v>
      </c>
      <c r="BG143" s="278">
        <f t="shared" si="142"/>
        <v>743.88303224872004</v>
      </c>
      <c r="BH143" s="278">
        <f t="shared" si="143"/>
        <v>743.88303224872004</v>
      </c>
      <c r="BI143" s="198"/>
      <c r="BJ143" s="284">
        <v>0</v>
      </c>
      <c r="BK143" s="200">
        <v>0</v>
      </c>
      <c r="BL143" s="278">
        <f t="shared" si="144"/>
        <v>91.480000000000018</v>
      </c>
      <c r="BM143" s="278">
        <f t="shared" si="145"/>
        <v>743.88303224872004</v>
      </c>
      <c r="BN143" s="278">
        <f t="shared" si="146"/>
        <v>743.88303224872004</v>
      </c>
      <c r="BO143" s="198"/>
      <c r="BP143" s="342">
        <f t="shared" si="130"/>
        <v>-20.78</v>
      </c>
      <c r="BQ143" s="284"/>
      <c r="BR143" s="284"/>
      <c r="BS143" s="285" t="s">
        <v>114</v>
      </c>
      <c r="BT143" s="183" t="s">
        <v>114</v>
      </c>
      <c r="BU143" s="183" t="s">
        <v>114</v>
      </c>
      <c r="BV143" s="299"/>
      <c r="BW143" s="284"/>
      <c r="BX143" s="284"/>
      <c r="BY143" s="285" t="s">
        <v>114</v>
      </c>
      <c r="BZ143" s="183" t="s">
        <v>114</v>
      </c>
      <c r="CA143" s="183" t="s">
        <v>114</v>
      </c>
    </row>
    <row r="144" spans="2:79" x14ac:dyDescent="0.25">
      <c r="B144" s="287">
        <v>44805</v>
      </c>
      <c r="C144" s="165">
        <f t="shared" si="122"/>
        <v>30</v>
      </c>
      <c r="D144" s="288">
        <v>83.8</v>
      </c>
      <c r="E144" s="335">
        <v>1.3318000000000001</v>
      </c>
      <c r="F144" s="288">
        <v>-1.56</v>
      </c>
      <c r="G144" s="172">
        <v>-7.2653273599999998E-2</v>
      </c>
      <c r="H144" s="288">
        <f t="shared" si="131"/>
        <v>82.231331031660517</v>
      </c>
      <c r="I144" s="288">
        <f t="shared" si="132"/>
        <v>689.16797916223993</v>
      </c>
      <c r="J144" s="288">
        <f t="shared" si="123"/>
        <v>689.24063243583998</v>
      </c>
      <c r="K144" s="171">
        <f t="shared" si="124"/>
        <v>0.98138424821002379</v>
      </c>
      <c r="L144" s="172">
        <f t="shared" si="119"/>
        <v>-0.45999999999999996</v>
      </c>
      <c r="M144" s="288">
        <v>-2.02</v>
      </c>
      <c r="N144" s="290">
        <f t="shared" si="125"/>
        <v>80.647952880774838</v>
      </c>
      <c r="O144" s="288">
        <f t="shared" si="126"/>
        <v>675.89793346548004</v>
      </c>
      <c r="P144" s="290">
        <f t="shared" si="127"/>
        <v>685.38544407348002</v>
      </c>
      <c r="Q144" s="291"/>
      <c r="R144" s="292"/>
      <c r="S144" s="291"/>
      <c r="T144" s="288">
        <f t="shared" si="128"/>
        <v>692.82723888280009</v>
      </c>
      <c r="U144" s="293">
        <f t="shared" si="129"/>
        <v>702.31474949080007</v>
      </c>
      <c r="V144" s="291"/>
      <c r="W144" s="292"/>
      <c r="X144" s="294">
        <v>-9.4875106079999991</v>
      </c>
      <c r="Y144" s="333">
        <v>0.4</v>
      </c>
      <c r="Z144" s="296"/>
      <c r="AA144" s="290">
        <v>-19.62</v>
      </c>
      <c r="AB144" s="288">
        <f t="shared" si="133"/>
        <v>537.62107446190203</v>
      </c>
      <c r="AC144" s="319">
        <f t="shared" si="134"/>
        <v>64.179999999999993</v>
      </c>
      <c r="AD144" s="319"/>
      <c r="AE144" s="278">
        <v>537.65341964799995</v>
      </c>
      <c r="AF144" s="279">
        <v>17.75</v>
      </c>
      <c r="AG144" s="288">
        <f t="shared" si="120"/>
        <v>18.060000000000002</v>
      </c>
      <c r="AH144" s="291"/>
      <c r="AI144" s="297"/>
      <c r="AJ144" s="171">
        <f t="shared" si="118"/>
        <v>0.59464429168596367</v>
      </c>
      <c r="AK144" s="290">
        <v>49.831191643283752</v>
      </c>
      <c r="AL144" s="190">
        <f t="shared" si="121"/>
        <v>417.62745675156179</v>
      </c>
      <c r="AM144" s="171"/>
      <c r="AN144" s="292"/>
      <c r="AO144" s="298"/>
      <c r="AP144" s="290">
        <v>-1.01</v>
      </c>
      <c r="AQ144" s="288">
        <f t="shared" si="117"/>
        <v>0.55000000000000004</v>
      </c>
      <c r="AR144" s="284">
        <v>0</v>
      </c>
      <c r="AS144" s="200">
        <v>0</v>
      </c>
      <c r="AT144" s="278">
        <f t="shared" si="135"/>
        <v>83.8</v>
      </c>
      <c r="AU144" s="278">
        <f t="shared" si="136"/>
        <v>702.31474949079995</v>
      </c>
      <c r="AV144" s="278">
        <f t="shared" si="137"/>
        <v>702.31474949079995</v>
      </c>
      <c r="AW144" s="198"/>
      <c r="AX144" s="284">
        <v>0</v>
      </c>
      <c r="AY144" s="200">
        <v>0</v>
      </c>
      <c r="AZ144" s="278">
        <f t="shared" si="138"/>
        <v>83.8</v>
      </c>
      <c r="BA144" s="278">
        <f t="shared" si="139"/>
        <v>702.31474949079995</v>
      </c>
      <c r="BB144" s="278">
        <f t="shared" si="140"/>
        <v>702.31474949079995</v>
      </c>
      <c r="BC144" s="198"/>
      <c r="BD144" s="284">
        <v>0</v>
      </c>
      <c r="BE144" s="200">
        <v>0</v>
      </c>
      <c r="BF144" s="278">
        <f t="shared" si="141"/>
        <v>83.8</v>
      </c>
      <c r="BG144" s="278">
        <f t="shared" si="142"/>
        <v>702.31474949079995</v>
      </c>
      <c r="BH144" s="278">
        <f t="shared" si="143"/>
        <v>702.31474949079995</v>
      </c>
      <c r="BI144" s="198"/>
      <c r="BJ144" s="284">
        <v>0</v>
      </c>
      <c r="BK144" s="200">
        <v>0</v>
      </c>
      <c r="BL144" s="278">
        <f t="shared" si="144"/>
        <v>83.8</v>
      </c>
      <c r="BM144" s="278">
        <f t="shared" si="145"/>
        <v>702.31474949079995</v>
      </c>
      <c r="BN144" s="278">
        <f t="shared" si="146"/>
        <v>702.31474949079995</v>
      </c>
      <c r="BO144" s="198"/>
      <c r="BP144" s="342">
        <f t="shared" si="130"/>
        <v>-19.37</v>
      </c>
      <c r="BQ144" s="284"/>
      <c r="BR144" s="284"/>
      <c r="BS144" s="285" t="s">
        <v>114</v>
      </c>
      <c r="BT144" s="183" t="s">
        <v>114</v>
      </c>
      <c r="BU144" s="183" t="s">
        <v>114</v>
      </c>
      <c r="BV144" s="299"/>
      <c r="BW144" s="284"/>
      <c r="BX144" s="284"/>
      <c r="BY144" s="285" t="s">
        <v>114</v>
      </c>
      <c r="BZ144" s="183" t="s">
        <v>114</v>
      </c>
      <c r="CA144" s="183" t="s">
        <v>114</v>
      </c>
    </row>
    <row r="145" spans="2:83" x14ac:dyDescent="0.25">
      <c r="B145" s="287">
        <v>44835</v>
      </c>
      <c r="C145" s="165">
        <f t="shared" si="122"/>
        <v>31</v>
      </c>
      <c r="D145" s="288">
        <v>87.03</v>
      </c>
      <c r="E145" s="335">
        <v>1.369</v>
      </c>
      <c r="F145" s="288">
        <v>-1.2</v>
      </c>
      <c r="G145" s="172">
        <v>3.27610006E-2</v>
      </c>
      <c r="H145" s="288">
        <f t="shared" si="131"/>
        <v>85.833802812821517</v>
      </c>
      <c r="I145" s="288">
        <f t="shared" si="132"/>
        <v>739.45297794549992</v>
      </c>
      <c r="J145" s="288">
        <f t="shared" si="123"/>
        <v>739.42021694489995</v>
      </c>
      <c r="K145" s="171">
        <f t="shared" si="124"/>
        <v>0.98621165115477416</v>
      </c>
      <c r="L145" s="172">
        <f t="shared" si="119"/>
        <v>-0.8899999999999999</v>
      </c>
      <c r="M145" s="288">
        <v>-2.09</v>
      </c>
      <c r="N145" s="290">
        <f t="shared" si="125"/>
        <v>84.020316282586606</v>
      </c>
      <c r="O145" s="288">
        <f t="shared" si="126"/>
        <v>723.82990205579995</v>
      </c>
      <c r="P145" s="290">
        <f t="shared" si="127"/>
        <v>731.75292120819995</v>
      </c>
      <c r="Q145" s="291"/>
      <c r="R145" s="292"/>
      <c r="S145" s="291"/>
      <c r="T145" s="288">
        <f t="shared" si="128"/>
        <v>741.83512462850001</v>
      </c>
      <c r="U145" s="293">
        <f t="shared" si="129"/>
        <v>749.75814378090001</v>
      </c>
      <c r="V145" s="291"/>
      <c r="W145" s="292"/>
      <c r="X145" s="294">
        <v>-7.9230191524000002</v>
      </c>
      <c r="Y145" s="333">
        <v>0.42</v>
      </c>
      <c r="Z145" s="296"/>
      <c r="AA145" s="290">
        <v>-20.65</v>
      </c>
      <c r="AB145" s="288">
        <f t="shared" si="133"/>
        <v>571.58162313530988</v>
      </c>
      <c r="AC145" s="319">
        <f t="shared" si="134"/>
        <v>66.38</v>
      </c>
      <c r="AD145" s="319"/>
      <c r="AE145" s="278">
        <v>571.61554500800003</v>
      </c>
      <c r="AF145" s="279">
        <v>14.729999999999999</v>
      </c>
      <c r="AG145" s="288">
        <f t="shared" si="120"/>
        <v>19.45</v>
      </c>
      <c r="AH145" s="291"/>
      <c r="AI145" s="297"/>
      <c r="AJ145" s="171">
        <f t="shared" si="118"/>
        <v>0.61986178436957151</v>
      </c>
      <c r="AK145" s="290">
        <v>53.946571093683808</v>
      </c>
      <c r="AL145" s="190">
        <f t="shared" si="121"/>
        <v>464.74642084964637</v>
      </c>
      <c r="AM145" s="171">
        <v>0.59050000000000002</v>
      </c>
      <c r="AN145" s="292"/>
      <c r="AO145" s="298"/>
      <c r="AP145" s="290">
        <v>-0.44</v>
      </c>
      <c r="AQ145" s="288">
        <f t="shared" si="117"/>
        <v>0.76</v>
      </c>
      <c r="AR145" s="284">
        <v>0</v>
      </c>
      <c r="AS145" s="200">
        <v>0</v>
      </c>
      <c r="AT145" s="278">
        <f t="shared" si="135"/>
        <v>87.03</v>
      </c>
      <c r="AU145" s="278">
        <f t="shared" si="136"/>
        <v>749.75814378090001</v>
      </c>
      <c r="AV145" s="278">
        <f t="shared" si="137"/>
        <v>749.75814378090001</v>
      </c>
      <c r="AW145" s="198"/>
      <c r="AX145" s="284">
        <v>0</v>
      </c>
      <c r="AY145" s="200">
        <v>0</v>
      </c>
      <c r="AZ145" s="278">
        <f t="shared" si="138"/>
        <v>87.03</v>
      </c>
      <c r="BA145" s="278">
        <f t="shared" si="139"/>
        <v>749.75814378090001</v>
      </c>
      <c r="BB145" s="278">
        <f t="shared" si="140"/>
        <v>749.75814378090001</v>
      </c>
      <c r="BC145" s="198"/>
      <c r="BD145" s="284">
        <v>0</v>
      </c>
      <c r="BE145" s="200">
        <v>0</v>
      </c>
      <c r="BF145" s="278">
        <f t="shared" si="141"/>
        <v>87.03</v>
      </c>
      <c r="BG145" s="278">
        <f t="shared" si="142"/>
        <v>749.75814378090001</v>
      </c>
      <c r="BH145" s="278">
        <f t="shared" si="143"/>
        <v>749.75814378090001</v>
      </c>
      <c r="BI145" s="198"/>
      <c r="BJ145" s="284">
        <v>0</v>
      </c>
      <c r="BK145" s="200">
        <v>0</v>
      </c>
      <c r="BL145" s="278">
        <f t="shared" si="144"/>
        <v>87.03</v>
      </c>
      <c r="BM145" s="278">
        <f t="shared" si="145"/>
        <v>749.75814378090001</v>
      </c>
      <c r="BN145" s="278">
        <f t="shared" si="146"/>
        <v>749.75814378090001</v>
      </c>
      <c r="BO145" s="198"/>
      <c r="BP145" s="342">
        <f t="shared" si="130"/>
        <v>-20.399999999999999</v>
      </c>
      <c r="BQ145" s="284"/>
      <c r="BR145" s="284"/>
      <c r="BS145" s="285" t="s">
        <v>114</v>
      </c>
      <c r="BT145" s="183" t="s">
        <v>114</v>
      </c>
      <c r="BU145" s="183" t="s">
        <v>114</v>
      </c>
      <c r="BV145" s="299"/>
      <c r="BW145" s="284"/>
      <c r="BX145" s="284"/>
      <c r="BY145" s="285" t="s">
        <v>114</v>
      </c>
      <c r="BZ145" s="183" t="s">
        <v>114</v>
      </c>
      <c r="CA145" s="183" t="s">
        <v>114</v>
      </c>
    </row>
    <row r="146" spans="2:83" x14ac:dyDescent="0.25">
      <c r="B146" s="287">
        <v>44866</v>
      </c>
      <c r="C146" s="165">
        <f t="shared" si="122"/>
        <v>30</v>
      </c>
      <c r="D146" s="288">
        <v>84.39</v>
      </c>
      <c r="E146" s="335">
        <v>1.3452</v>
      </c>
      <c r="F146" s="288">
        <v>-2.2400000000000002</v>
      </c>
      <c r="G146" s="172">
        <v>0.33584653390000002</v>
      </c>
      <c r="H146" s="288">
        <f t="shared" si="131"/>
        <v>82.18967393265865</v>
      </c>
      <c r="I146" s="288">
        <f t="shared" si="132"/>
        <v>695.74945721050005</v>
      </c>
      <c r="J146" s="288">
        <f t="shared" si="123"/>
        <v>695.4136106766</v>
      </c>
      <c r="K146" s="171">
        <f t="shared" si="124"/>
        <v>0.97345657068373037</v>
      </c>
      <c r="L146" s="172">
        <f t="shared" si="119"/>
        <v>2.58</v>
      </c>
      <c r="M146" s="288">
        <v>0.34</v>
      </c>
      <c r="N146" s="290">
        <f t="shared" si="125"/>
        <v>83.68098408017272</v>
      </c>
      <c r="O146" s="288">
        <f t="shared" si="126"/>
        <v>708.37364922901997</v>
      </c>
      <c r="P146" s="290">
        <f t="shared" si="127"/>
        <v>717.25374598451992</v>
      </c>
      <c r="Q146" s="291"/>
      <c r="R146" s="292"/>
      <c r="S146" s="291"/>
      <c r="T146" s="288">
        <f t="shared" si="128"/>
        <v>705.49549186286004</v>
      </c>
      <c r="U146" s="293">
        <f t="shared" si="129"/>
        <v>714.37558861835998</v>
      </c>
      <c r="V146" s="291"/>
      <c r="W146" s="292"/>
      <c r="X146" s="294">
        <v>-8.8800967555000003</v>
      </c>
      <c r="Y146" s="333">
        <v>0.63</v>
      </c>
      <c r="Z146" s="296"/>
      <c r="AA146" s="290">
        <v>-26.95</v>
      </c>
      <c r="AB146" s="288">
        <f t="shared" si="133"/>
        <v>486.00288917942396</v>
      </c>
      <c r="AC146" s="319">
        <f t="shared" si="134"/>
        <v>57.44</v>
      </c>
      <c r="AD146" s="319"/>
      <c r="AE146" s="278">
        <v>486.00307961599998</v>
      </c>
      <c r="AF146" s="279">
        <v>11.5</v>
      </c>
      <c r="AG146" s="288">
        <f t="shared" si="120"/>
        <v>24.71</v>
      </c>
      <c r="AH146" s="291"/>
      <c r="AI146" s="297"/>
      <c r="AJ146" s="171">
        <f t="shared" si="118"/>
        <v>0.62287015154083358</v>
      </c>
      <c r="AK146" s="290">
        <v>52.564012088530944</v>
      </c>
      <c r="AL146" s="190">
        <f t="shared" si="121"/>
        <v>444.96323113979003</v>
      </c>
      <c r="AM146" s="171">
        <v>0.59889999999999999</v>
      </c>
      <c r="AN146" s="292"/>
      <c r="AO146" s="298"/>
      <c r="AP146" s="290">
        <v>-1.57</v>
      </c>
      <c r="AQ146" s="288">
        <f t="shared" si="117"/>
        <v>0.67000000000000015</v>
      </c>
      <c r="AR146" s="284">
        <v>0</v>
      </c>
      <c r="AS146" s="200">
        <v>0</v>
      </c>
      <c r="AT146" s="278">
        <f t="shared" si="135"/>
        <v>84.39</v>
      </c>
      <c r="AU146" s="278">
        <f t="shared" si="136"/>
        <v>714.37558861835998</v>
      </c>
      <c r="AV146" s="278">
        <f t="shared" si="137"/>
        <v>714.37558861835998</v>
      </c>
      <c r="AW146" s="198"/>
      <c r="AX146" s="284">
        <v>0</v>
      </c>
      <c r="AY146" s="200">
        <v>0</v>
      </c>
      <c r="AZ146" s="278">
        <f t="shared" si="138"/>
        <v>84.39</v>
      </c>
      <c r="BA146" s="278">
        <f t="shared" si="139"/>
        <v>714.37558861835998</v>
      </c>
      <c r="BB146" s="278">
        <f t="shared" si="140"/>
        <v>714.37558861835998</v>
      </c>
      <c r="BC146" s="198"/>
      <c r="BD146" s="284">
        <v>0</v>
      </c>
      <c r="BE146" s="200">
        <v>0</v>
      </c>
      <c r="BF146" s="278">
        <f t="shared" si="141"/>
        <v>84.39</v>
      </c>
      <c r="BG146" s="278">
        <f t="shared" si="142"/>
        <v>714.37558861835998</v>
      </c>
      <c r="BH146" s="278">
        <f t="shared" si="143"/>
        <v>714.37558861835998</v>
      </c>
      <c r="BI146" s="198"/>
      <c r="BJ146" s="284">
        <v>0</v>
      </c>
      <c r="BK146" s="200">
        <v>0</v>
      </c>
      <c r="BL146" s="278">
        <f t="shared" si="144"/>
        <v>84.39</v>
      </c>
      <c r="BM146" s="278">
        <f t="shared" si="145"/>
        <v>714.37558861835998</v>
      </c>
      <c r="BN146" s="278">
        <f t="shared" si="146"/>
        <v>714.37558861835998</v>
      </c>
      <c r="BO146" s="198"/>
      <c r="BP146" s="342">
        <f t="shared" si="130"/>
        <v>-26.7</v>
      </c>
      <c r="BQ146" s="284"/>
      <c r="BR146" s="284"/>
      <c r="BS146" s="285" t="s">
        <v>114</v>
      </c>
      <c r="BT146" s="183" t="s">
        <v>114</v>
      </c>
      <c r="BU146" s="183" t="s">
        <v>114</v>
      </c>
      <c r="BV146" s="299"/>
      <c r="BW146" s="284"/>
      <c r="BX146" s="284"/>
      <c r="BY146" s="285" t="s">
        <v>114</v>
      </c>
      <c r="BZ146" s="183" t="s">
        <v>114</v>
      </c>
      <c r="CA146" s="183" t="s">
        <v>114</v>
      </c>
    </row>
    <row r="147" spans="2:83" x14ac:dyDescent="0.25">
      <c r="B147" s="300">
        <v>44896</v>
      </c>
      <c r="C147" s="203">
        <f t="shared" si="122"/>
        <v>31</v>
      </c>
      <c r="D147" s="301">
        <v>76.52</v>
      </c>
      <c r="E147" s="336">
        <v>1.359</v>
      </c>
      <c r="F147" s="312">
        <v>-1.54</v>
      </c>
      <c r="G147" s="210">
        <v>1.2209073009</v>
      </c>
      <c r="H147" s="301">
        <f t="shared" si="131"/>
        <v>75.12276260829772</v>
      </c>
      <c r="I147" s="301">
        <f t="shared" si="132"/>
        <v>642.45064184429987</v>
      </c>
      <c r="J147" s="301">
        <f t="shared" si="123"/>
        <v>641.2297345433999</v>
      </c>
      <c r="K147" s="209">
        <f t="shared" si="124"/>
        <v>0.97987454260324092</v>
      </c>
      <c r="L147" s="210">
        <f t="shared" si="119"/>
        <v>5.41</v>
      </c>
      <c r="M147" s="301">
        <v>3.87</v>
      </c>
      <c r="N147" s="303">
        <f t="shared" si="125"/>
        <v>79.217416972238382</v>
      </c>
      <c r="O147" s="301">
        <f t="shared" si="126"/>
        <v>677.46816826249994</v>
      </c>
      <c r="P147" s="303">
        <f t="shared" si="127"/>
        <v>687.49611042869992</v>
      </c>
      <c r="Q147" s="304"/>
      <c r="R147" s="305"/>
      <c r="S147" s="304"/>
      <c r="T147" s="301">
        <f t="shared" si="128"/>
        <v>644.37188828540002</v>
      </c>
      <c r="U147" s="303">
        <f t="shared" si="129"/>
        <v>654.3998304516</v>
      </c>
      <c r="V147" s="304"/>
      <c r="W147" s="305"/>
      <c r="X147" s="306">
        <v>-10.027942166200001</v>
      </c>
      <c r="Y147" s="307">
        <v>0.75</v>
      </c>
      <c r="Z147" s="308"/>
      <c r="AA147" s="303">
        <v>-29.38</v>
      </c>
      <c r="AB147" s="301">
        <f t="shared" si="133"/>
        <v>402.94576541223</v>
      </c>
      <c r="AC147" s="320">
        <f t="shared" si="134"/>
        <v>47.14</v>
      </c>
      <c r="AD147" s="320"/>
      <c r="AE147" s="312">
        <v>402.95790540000002</v>
      </c>
      <c r="AF147" s="321">
        <v>8.98</v>
      </c>
      <c r="AG147" s="301">
        <f t="shared" si="120"/>
        <v>27.84</v>
      </c>
      <c r="AH147" s="304"/>
      <c r="AI147" s="309"/>
      <c r="AJ147" s="209">
        <f t="shared" si="118"/>
        <v>0.64776911648566216</v>
      </c>
      <c r="AK147" s="303">
        <v>49.567292793482864</v>
      </c>
      <c r="AL147" s="228">
        <f t="shared" si="121"/>
        <v>423.9</v>
      </c>
      <c r="AM147" s="209">
        <v>0.6623</v>
      </c>
      <c r="AN147" s="305"/>
      <c r="AO147" s="310"/>
      <c r="AP147" s="303">
        <v>-0.99</v>
      </c>
      <c r="AQ147" s="301">
        <f t="shared" si="117"/>
        <v>0.55000000000000004</v>
      </c>
      <c r="AR147" s="311">
        <v>0</v>
      </c>
      <c r="AS147" s="238">
        <v>0</v>
      </c>
      <c r="AT147" s="312">
        <f t="shared" si="135"/>
        <v>76.519999999999982</v>
      </c>
      <c r="AU147" s="312">
        <f t="shared" si="136"/>
        <v>654.39983045159988</v>
      </c>
      <c r="AV147" s="312">
        <f t="shared" si="137"/>
        <v>654.39983045159988</v>
      </c>
      <c r="AW147" s="236"/>
      <c r="AX147" s="311">
        <v>0</v>
      </c>
      <c r="AY147" s="238">
        <v>0</v>
      </c>
      <c r="AZ147" s="312">
        <f t="shared" si="138"/>
        <v>76.519999999999982</v>
      </c>
      <c r="BA147" s="312">
        <f t="shared" si="139"/>
        <v>654.39983045159988</v>
      </c>
      <c r="BB147" s="312">
        <f t="shared" si="140"/>
        <v>654.39983045159988</v>
      </c>
      <c r="BC147" s="236"/>
      <c r="BD147" s="311">
        <v>0</v>
      </c>
      <c r="BE147" s="238">
        <v>0</v>
      </c>
      <c r="BF147" s="312">
        <f t="shared" si="141"/>
        <v>76.519999999999982</v>
      </c>
      <c r="BG147" s="312">
        <f t="shared" si="142"/>
        <v>654.39983045159988</v>
      </c>
      <c r="BH147" s="312">
        <f t="shared" si="143"/>
        <v>654.39983045159988</v>
      </c>
      <c r="BI147" s="236"/>
      <c r="BJ147" s="311">
        <v>0</v>
      </c>
      <c r="BK147" s="238">
        <v>0</v>
      </c>
      <c r="BL147" s="312">
        <f t="shared" si="144"/>
        <v>76.519999999999982</v>
      </c>
      <c r="BM147" s="312">
        <f t="shared" si="145"/>
        <v>654.39983045159988</v>
      </c>
      <c r="BN147" s="312">
        <f t="shared" si="146"/>
        <v>654.39983045159988</v>
      </c>
      <c r="BO147" s="236"/>
      <c r="BP147" s="344">
        <f t="shared" si="130"/>
        <v>-29.13</v>
      </c>
      <c r="BQ147" s="311"/>
      <c r="BR147" s="311"/>
      <c r="BS147" s="313" t="s">
        <v>114</v>
      </c>
      <c r="BT147" s="221" t="s">
        <v>114</v>
      </c>
      <c r="BU147" s="221" t="s">
        <v>114</v>
      </c>
      <c r="BV147" s="314"/>
      <c r="BW147" s="311"/>
      <c r="BX147" s="311"/>
      <c r="BY147" s="313" t="s">
        <v>114</v>
      </c>
      <c r="BZ147" s="221" t="s">
        <v>114</v>
      </c>
      <c r="CA147" s="221" t="s">
        <v>114</v>
      </c>
    </row>
    <row r="148" spans="2:83" x14ac:dyDescent="0.25">
      <c r="B148" s="322">
        <v>44927</v>
      </c>
      <c r="C148" s="126">
        <f t="shared" si="122"/>
        <v>31</v>
      </c>
      <c r="D148" s="323">
        <v>78.16</v>
      </c>
      <c r="E148" s="324">
        <v>1.3421400000000001</v>
      </c>
      <c r="F148" s="316">
        <v>-3.07</v>
      </c>
      <c r="G148" s="145">
        <v>2.14</v>
      </c>
      <c r="H148" s="323">
        <f t="shared" si="131"/>
        <v>75.343377002118942</v>
      </c>
      <c r="I148" s="323">
        <f t="shared" si="132"/>
        <v>636.34357276376204</v>
      </c>
      <c r="J148" s="323">
        <f t="shared" si="123"/>
        <v>634.20357276376205</v>
      </c>
      <c r="K148" s="132">
        <f t="shared" si="124"/>
        <v>0.96072159672466739</v>
      </c>
      <c r="L148" s="133">
        <f t="shared" si="119"/>
        <v>6.52</v>
      </c>
      <c r="M148" s="318">
        <v>3.45</v>
      </c>
      <c r="N148" s="325">
        <f t="shared" si="125"/>
        <v>79.446823444526657</v>
      </c>
      <c r="O148" s="316">
        <f>((D148+M148)*6.29287*E148)+X148</f>
        <v>671.00092253629805</v>
      </c>
      <c r="P148" s="325">
        <f t="shared" si="127"/>
        <v>689.27092253629803</v>
      </c>
      <c r="Q148" s="317"/>
      <c r="R148" s="326"/>
      <c r="S148" s="317"/>
      <c r="T148" s="318">
        <f t="shared" si="128"/>
        <v>641.86252426708802</v>
      </c>
      <c r="U148" s="325">
        <f t="shared" si="129"/>
        <v>660.132524267088</v>
      </c>
      <c r="V148" s="317"/>
      <c r="W148" s="326"/>
      <c r="X148" s="337">
        <v>-18.27</v>
      </c>
      <c r="Y148" s="328">
        <v>0.69</v>
      </c>
      <c r="Z148" s="338">
        <v>687.03</v>
      </c>
      <c r="AA148" s="325">
        <v>-28.17</v>
      </c>
      <c r="AB148" s="323">
        <f t="shared" si="133"/>
        <v>422.00589516085529</v>
      </c>
      <c r="AC148" s="315">
        <f t="shared" si="134"/>
        <v>49.989999999999995</v>
      </c>
      <c r="AD148" s="792">
        <v>918</v>
      </c>
      <c r="AE148" s="789">
        <v>421.59650636399999</v>
      </c>
      <c r="AF148" s="268">
        <v>8.98</v>
      </c>
      <c r="AG148" s="323">
        <f t="shared" si="120"/>
        <v>25.1</v>
      </c>
      <c r="AH148" s="317"/>
      <c r="AI148" s="330"/>
      <c r="AJ148" s="339">
        <v>0.5</v>
      </c>
      <c r="AK148" s="325">
        <v>49.318959999999997</v>
      </c>
      <c r="AL148" s="151">
        <f t="shared" si="121"/>
        <v>330.066262133544</v>
      </c>
      <c r="AM148" s="132">
        <v>0.62390000000000001</v>
      </c>
      <c r="AN148" s="326"/>
      <c r="AO148" s="331"/>
      <c r="AP148" s="325">
        <v>-2.78</v>
      </c>
      <c r="AQ148" s="323">
        <f t="shared" si="117"/>
        <v>0.29000000000000004</v>
      </c>
      <c r="AR148" s="318">
        <v>0</v>
      </c>
      <c r="AS148" s="161">
        <v>0</v>
      </c>
      <c r="AT148" s="316">
        <f t="shared" si="135"/>
        <v>78.16</v>
      </c>
      <c r="AU148" s="316">
        <f t="shared" si="136"/>
        <v>660.132524267088</v>
      </c>
      <c r="AV148" s="316">
        <f t="shared" si="137"/>
        <v>660.132524267088</v>
      </c>
      <c r="AW148" s="159"/>
      <c r="AX148" s="318">
        <v>0</v>
      </c>
      <c r="AY148" s="161">
        <v>0</v>
      </c>
      <c r="AZ148" s="316">
        <f t="shared" si="138"/>
        <v>78.16</v>
      </c>
      <c r="BA148" s="316">
        <f t="shared" si="139"/>
        <v>660.132524267088</v>
      </c>
      <c r="BB148" s="316">
        <f t="shared" si="140"/>
        <v>660.132524267088</v>
      </c>
      <c r="BC148" s="159"/>
      <c r="BD148" s="318">
        <v>0</v>
      </c>
      <c r="BE148" s="161">
        <v>0</v>
      </c>
      <c r="BF148" s="316">
        <f t="shared" si="141"/>
        <v>78.16</v>
      </c>
      <c r="BG148" s="316">
        <f t="shared" si="142"/>
        <v>660.132524267088</v>
      </c>
      <c r="BH148" s="316">
        <f t="shared" si="143"/>
        <v>660.132524267088</v>
      </c>
      <c r="BI148" s="159"/>
      <c r="BJ148" s="318">
        <v>0</v>
      </c>
      <c r="BK148" s="161">
        <v>0</v>
      </c>
      <c r="BL148" s="316">
        <f t="shared" si="144"/>
        <v>78.16</v>
      </c>
      <c r="BM148" s="316">
        <f t="shared" si="145"/>
        <v>660.132524267088</v>
      </c>
      <c r="BN148" s="316">
        <f t="shared" si="146"/>
        <v>660.132524267088</v>
      </c>
      <c r="BO148" s="159"/>
      <c r="BP148" s="349">
        <f t="shared" si="130"/>
        <v>-27.92</v>
      </c>
      <c r="BQ148" s="318"/>
      <c r="BR148" s="318"/>
      <c r="BS148" s="267" t="s">
        <v>114</v>
      </c>
      <c r="BT148" s="145" t="s">
        <v>114</v>
      </c>
      <c r="BU148" s="145" t="s">
        <v>114</v>
      </c>
      <c r="BV148" s="332"/>
      <c r="BW148" s="318"/>
      <c r="BX148" s="318"/>
      <c r="BY148" s="267" t="s">
        <v>114</v>
      </c>
      <c r="BZ148" s="145" t="s">
        <v>114</v>
      </c>
      <c r="CA148" s="145" t="s">
        <v>114</v>
      </c>
    </row>
    <row r="149" spans="2:83" x14ac:dyDescent="0.25">
      <c r="B149" s="287">
        <v>44958</v>
      </c>
      <c r="C149" s="165">
        <f t="shared" si="122"/>
        <v>28</v>
      </c>
      <c r="D149" s="288">
        <v>76.86</v>
      </c>
      <c r="E149" s="335">
        <v>1.3453999999999999</v>
      </c>
      <c r="F149" s="288">
        <v>-3.8</v>
      </c>
      <c r="G149" s="278">
        <v>1.9414230174</v>
      </c>
      <c r="H149" s="288">
        <f t="shared" si="131"/>
        <v>73.289308414171188</v>
      </c>
      <c r="I149" s="278">
        <f t="shared" si="132"/>
        <v>620.49860140928001</v>
      </c>
      <c r="J149" s="288">
        <f t="shared" si="123"/>
        <v>618.55717839188003</v>
      </c>
      <c r="K149" s="171">
        <f t="shared" si="124"/>
        <v>0.95055945875618009</v>
      </c>
      <c r="L149" s="172">
        <f t="shared" si="119"/>
        <v>6.91</v>
      </c>
      <c r="M149" s="288">
        <v>3.11</v>
      </c>
      <c r="N149" s="290">
        <f t="shared" si="125"/>
        <v>79.97</v>
      </c>
      <c r="O149" s="278">
        <f t="shared" si="126"/>
        <v>677.06019102105995</v>
      </c>
      <c r="P149" s="290">
        <f t="shared" si="127"/>
        <v>677.06019102105995</v>
      </c>
      <c r="Q149" s="291"/>
      <c r="R149" s="292"/>
      <c r="S149" s="291"/>
      <c r="T149" s="284">
        <f t="shared" si="128"/>
        <v>650.72960212427995</v>
      </c>
      <c r="U149" s="293">
        <f t="shared" si="129"/>
        <v>650.72960212427995</v>
      </c>
      <c r="V149" s="291"/>
      <c r="W149" s="292"/>
      <c r="X149" s="340"/>
      <c r="Y149" s="295"/>
      <c r="Z149" s="341">
        <v>674.46</v>
      </c>
      <c r="AA149" s="290">
        <v>-25.89</v>
      </c>
      <c r="AB149" s="288">
        <f t="shared" si="133"/>
        <v>431.32399405029895</v>
      </c>
      <c r="AC149" s="319">
        <f t="shared" si="134"/>
        <v>50.97</v>
      </c>
      <c r="AD149" s="793">
        <v>922.1</v>
      </c>
      <c r="AE149" s="790">
        <v>432.95774841600002</v>
      </c>
      <c r="AF149" s="279">
        <v>8.98</v>
      </c>
      <c r="AG149" s="288">
        <f t="shared" si="120"/>
        <v>22.09</v>
      </c>
      <c r="AH149" s="291"/>
      <c r="AI149" s="297"/>
      <c r="AJ149" s="171">
        <f t="shared" si="118"/>
        <v>0.65100000000000002</v>
      </c>
      <c r="AK149" s="290">
        <v>50.03586</v>
      </c>
      <c r="AL149" s="190">
        <f t="shared" si="121"/>
        <v>423.62497098290623</v>
      </c>
      <c r="AM149" s="171">
        <v>0.57850000000000001</v>
      </c>
      <c r="AN149" s="292"/>
      <c r="AO149" s="298"/>
      <c r="AP149" s="299">
        <v>0</v>
      </c>
      <c r="AQ149" s="288">
        <f t="shared" si="117"/>
        <v>3.8</v>
      </c>
      <c r="AR149" s="284">
        <v>0</v>
      </c>
      <c r="AS149" s="284">
        <v>0</v>
      </c>
      <c r="AT149" s="278">
        <f t="shared" si="135"/>
        <v>76.86</v>
      </c>
      <c r="AU149" s="278">
        <f t="shared" si="136"/>
        <v>650.72960212427995</v>
      </c>
      <c r="AV149" s="278">
        <f t="shared" si="137"/>
        <v>650.72960212427995</v>
      </c>
      <c r="AW149" s="198"/>
      <c r="AX149" s="284">
        <v>0</v>
      </c>
      <c r="AY149" s="284">
        <v>0</v>
      </c>
      <c r="AZ149" s="278">
        <f t="shared" si="138"/>
        <v>76.86</v>
      </c>
      <c r="BA149" s="278">
        <f t="shared" si="139"/>
        <v>650.72960212427995</v>
      </c>
      <c r="BB149" s="278">
        <f t="shared" si="140"/>
        <v>650.72960212427995</v>
      </c>
      <c r="BC149" s="198"/>
      <c r="BD149" s="284">
        <v>0</v>
      </c>
      <c r="BE149" s="298">
        <v>0</v>
      </c>
      <c r="BF149" s="278">
        <f t="shared" si="141"/>
        <v>76.86</v>
      </c>
      <c r="BG149" s="278">
        <f t="shared" si="142"/>
        <v>650.72960212427995</v>
      </c>
      <c r="BH149" s="278">
        <f t="shared" si="143"/>
        <v>650.72960212427995</v>
      </c>
      <c r="BI149" s="198"/>
      <c r="BJ149" s="284">
        <v>0</v>
      </c>
      <c r="BK149" s="298">
        <v>0</v>
      </c>
      <c r="BL149" s="278">
        <f t="shared" si="144"/>
        <v>76.86</v>
      </c>
      <c r="BM149" s="278">
        <f t="shared" si="145"/>
        <v>650.72960212427995</v>
      </c>
      <c r="BN149" s="278">
        <f t="shared" si="146"/>
        <v>650.72960212427995</v>
      </c>
      <c r="BO149" s="198"/>
      <c r="BP149" s="342">
        <f t="shared" si="130"/>
        <v>-25.64</v>
      </c>
      <c r="BQ149" s="284"/>
      <c r="BR149" s="284"/>
      <c r="BS149" s="285" t="s">
        <v>114</v>
      </c>
      <c r="BT149" s="183" t="s">
        <v>114</v>
      </c>
      <c r="BU149" s="183" t="s">
        <v>114</v>
      </c>
      <c r="BV149" s="299"/>
      <c r="BW149" s="284"/>
      <c r="BX149" s="284"/>
      <c r="BY149" s="285" t="s">
        <v>114</v>
      </c>
      <c r="BZ149" s="183" t="s">
        <v>114</v>
      </c>
      <c r="CA149" s="183" t="s">
        <v>114</v>
      </c>
    </row>
    <row r="150" spans="2:83" x14ac:dyDescent="0.25">
      <c r="B150" s="287">
        <v>44986</v>
      </c>
      <c r="C150" s="165">
        <f t="shared" si="122"/>
        <v>31</v>
      </c>
      <c r="D150" s="288">
        <v>73.37</v>
      </c>
      <c r="E150" s="335">
        <v>1.3683000000000001</v>
      </c>
      <c r="F150" s="288">
        <v>-1.71</v>
      </c>
      <c r="G150" s="183">
        <v>1.5558226258000001</v>
      </c>
      <c r="H150" s="288">
        <f t="shared" si="131"/>
        <v>71.840688285071025</v>
      </c>
      <c r="I150" s="278">
        <f t="shared" si="132"/>
        <v>618.58669057066015</v>
      </c>
      <c r="J150" s="288">
        <f t="shared" si="123"/>
        <v>617.03086794486012</v>
      </c>
      <c r="K150" s="171">
        <f t="shared" si="124"/>
        <v>0.9766934714460952</v>
      </c>
      <c r="L150" s="172">
        <f t="shared" si="119"/>
        <v>6.37</v>
      </c>
      <c r="M150" s="288">
        <v>4.66</v>
      </c>
      <c r="N150" s="290">
        <f t="shared" si="125"/>
        <v>76.448216574398003</v>
      </c>
      <c r="O150" s="278">
        <f t="shared" si="126"/>
        <v>658.25996965862998</v>
      </c>
      <c r="P150" s="290">
        <f t="shared" si="127"/>
        <v>671.87996965862999</v>
      </c>
      <c r="Q150" s="291"/>
      <c r="R150" s="292"/>
      <c r="S150" s="291"/>
      <c r="T150" s="284">
        <f t="shared" si="128"/>
        <v>618.13488112077005</v>
      </c>
      <c r="U150" s="293">
        <f t="shared" si="129"/>
        <v>631.75488112077005</v>
      </c>
      <c r="V150" s="291"/>
      <c r="W150" s="292"/>
      <c r="X150" s="294">
        <v>-13.62</v>
      </c>
      <c r="Y150" s="295">
        <v>0.56999999999999995</v>
      </c>
      <c r="Z150" s="341">
        <v>672.39</v>
      </c>
      <c r="AA150" s="290">
        <v>-20.57</v>
      </c>
      <c r="AB150" s="288">
        <f t="shared" si="133"/>
        <v>454.41515893752006</v>
      </c>
      <c r="AC150" s="319">
        <f t="shared" si="134"/>
        <v>52.800000000000004</v>
      </c>
      <c r="AD150" s="793">
        <v>923.1</v>
      </c>
      <c r="AE150" s="790">
        <v>456.06743800100003</v>
      </c>
      <c r="AF150" s="279">
        <v>8.98</v>
      </c>
      <c r="AG150" s="288">
        <f t="shared" si="120"/>
        <v>18.86</v>
      </c>
      <c r="AH150" s="291"/>
      <c r="AI150" s="297"/>
      <c r="AJ150" s="171">
        <f t="shared" si="118"/>
        <v>0.63600000000000001</v>
      </c>
      <c r="AK150" s="290">
        <v>46.663320000000006</v>
      </c>
      <c r="AL150" s="190">
        <f t="shared" si="121"/>
        <v>401.79610439280975</v>
      </c>
      <c r="AM150" s="171">
        <v>0.61229999999999996</v>
      </c>
      <c r="AN150" s="292"/>
      <c r="AO150" s="298"/>
      <c r="AP150" s="290">
        <v>-1.31</v>
      </c>
      <c r="AQ150" s="288">
        <f t="shared" si="117"/>
        <v>0.39999999999999991</v>
      </c>
      <c r="AR150" s="284">
        <v>0</v>
      </c>
      <c r="AS150" s="200">
        <v>0</v>
      </c>
      <c r="AT150" s="278">
        <f t="shared" si="135"/>
        <v>73.37</v>
      </c>
      <c r="AU150" s="278">
        <f t="shared" si="136"/>
        <v>631.75488112077005</v>
      </c>
      <c r="AV150" s="278">
        <f t="shared" si="137"/>
        <v>631.75488112077005</v>
      </c>
      <c r="AW150" s="198"/>
      <c r="AX150" s="284">
        <v>0</v>
      </c>
      <c r="AY150" s="200">
        <v>0</v>
      </c>
      <c r="AZ150" s="278">
        <f t="shared" si="138"/>
        <v>73.37</v>
      </c>
      <c r="BA150" s="278">
        <f t="shared" si="139"/>
        <v>631.75488112077005</v>
      </c>
      <c r="BB150" s="278">
        <f t="shared" si="140"/>
        <v>631.75488112077005</v>
      </c>
      <c r="BC150" s="198"/>
      <c r="BD150" s="284">
        <v>0</v>
      </c>
      <c r="BE150" s="200">
        <v>0</v>
      </c>
      <c r="BF150" s="278">
        <f t="shared" si="141"/>
        <v>73.37</v>
      </c>
      <c r="BG150" s="278">
        <f t="shared" si="142"/>
        <v>631.75488112077005</v>
      </c>
      <c r="BH150" s="278">
        <f t="shared" si="143"/>
        <v>631.75488112077005</v>
      </c>
      <c r="BI150" s="198"/>
      <c r="BJ150" s="284">
        <v>0</v>
      </c>
      <c r="BK150" s="200">
        <v>0</v>
      </c>
      <c r="BL150" s="278">
        <f t="shared" si="144"/>
        <v>73.37</v>
      </c>
      <c r="BM150" s="278">
        <f t="shared" si="145"/>
        <v>631.75488112077005</v>
      </c>
      <c r="BN150" s="278">
        <f t="shared" si="146"/>
        <v>631.75488112077005</v>
      </c>
      <c r="BO150" s="198"/>
      <c r="BP150" s="342">
        <f t="shared" si="130"/>
        <v>-20.32</v>
      </c>
      <c r="BQ150" s="284"/>
      <c r="BR150" s="284"/>
      <c r="BS150" s="285" t="s">
        <v>114</v>
      </c>
      <c r="BT150" s="183" t="s">
        <v>114</v>
      </c>
      <c r="BU150" s="183" t="s">
        <v>114</v>
      </c>
      <c r="BV150" s="299"/>
      <c r="BW150" s="284"/>
      <c r="BX150" s="284"/>
      <c r="BY150" s="285" t="s">
        <v>114</v>
      </c>
      <c r="BZ150" s="183" t="s">
        <v>114</v>
      </c>
      <c r="CA150" s="183" t="s">
        <v>114</v>
      </c>
    </row>
    <row r="151" spans="2:83" x14ac:dyDescent="0.25">
      <c r="B151" s="287">
        <v>45017</v>
      </c>
      <c r="C151" s="165">
        <f t="shared" si="122"/>
        <v>30</v>
      </c>
      <c r="D151" s="288">
        <v>79.44</v>
      </c>
      <c r="E151" s="335">
        <v>1.34839</v>
      </c>
      <c r="F151" s="288">
        <v>-1.55</v>
      </c>
      <c r="G151" s="278">
        <v>1.0856800724</v>
      </c>
      <c r="H151" s="288">
        <f t="shared" si="131"/>
        <v>78.017949202521208</v>
      </c>
      <c r="I151" s="278">
        <f t="shared" si="132"/>
        <v>662.00125573007699</v>
      </c>
      <c r="J151" s="288">
        <f t="shared" si="123"/>
        <v>660.91557565767698</v>
      </c>
      <c r="K151" s="171">
        <f t="shared" si="124"/>
        <v>0.98048841893252769</v>
      </c>
      <c r="L151" s="172">
        <f t="shared" si="119"/>
        <v>5.43</v>
      </c>
      <c r="M151" s="288">
        <v>3.88</v>
      </c>
      <c r="N151" s="290">
        <f t="shared" si="125"/>
        <v>82.300583111043267</v>
      </c>
      <c r="O151" s="278">
        <f t="shared" si="126"/>
        <v>698.34044503527593</v>
      </c>
      <c r="P151" s="290">
        <f t="shared" si="127"/>
        <v>706.99044503527591</v>
      </c>
      <c r="Q151" s="291"/>
      <c r="R151" s="292"/>
      <c r="S151" s="291"/>
      <c r="T151" s="284">
        <f t="shared" si="128"/>
        <v>665.41770227559198</v>
      </c>
      <c r="U151" s="293">
        <f t="shared" si="129"/>
        <v>674.06770227559196</v>
      </c>
      <c r="V151" s="291"/>
      <c r="W151" s="292"/>
      <c r="X151" s="340">
        <v>-8.65</v>
      </c>
      <c r="Y151" s="295">
        <v>0.44</v>
      </c>
      <c r="Z151" s="341">
        <v>704.91</v>
      </c>
      <c r="AA151" s="290">
        <v>-16.05</v>
      </c>
      <c r="AB151" s="288">
        <f t="shared" si="133"/>
        <v>537.61804340222204</v>
      </c>
      <c r="AC151" s="319">
        <f t="shared" si="134"/>
        <v>63.39</v>
      </c>
      <c r="AD151" s="793">
        <v>921.9</v>
      </c>
      <c r="AE151" s="790">
        <v>538.39756438799998</v>
      </c>
      <c r="AF151" s="279">
        <v>8.98</v>
      </c>
      <c r="AG151" s="288">
        <f t="shared" si="120"/>
        <v>14.5</v>
      </c>
      <c r="AH151" s="291"/>
      <c r="AI151" s="297"/>
      <c r="AJ151" s="171">
        <f t="shared" si="118"/>
        <v>0.55769999999999997</v>
      </c>
      <c r="AK151" s="290">
        <v>44.303687999999994</v>
      </c>
      <c r="AL151" s="190">
        <f t="shared" si="121"/>
        <v>375.92755755909758</v>
      </c>
      <c r="AM151" s="171">
        <v>0.54730000000000001</v>
      </c>
      <c r="AN151" s="292"/>
      <c r="AO151" s="298"/>
      <c r="AP151" s="299">
        <v>-1.33</v>
      </c>
      <c r="AQ151" s="288">
        <f t="shared" si="117"/>
        <v>0.21999999999999997</v>
      </c>
      <c r="AR151" s="284">
        <v>0</v>
      </c>
      <c r="AS151" s="284">
        <v>0</v>
      </c>
      <c r="AT151" s="278">
        <f t="shared" si="135"/>
        <v>79.440000000000012</v>
      </c>
      <c r="AU151" s="278">
        <f t="shared" si="136"/>
        <v>674.06770227559196</v>
      </c>
      <c r="AV151" s="278">
        <f t="shared" si="137"/>
        <v>674.06770227559196</v>
      </c>
      <c r="AW151" s="198"/>
      <c r="AX151" s="284">
        <v>0</v>
      </c>
      <c r="AY151" s="284">
        <v>0</v>
      </c>
      <c r="AZ151" s="278">
        <f t="shared" si="138"/>
        <v>79.440000000000012</v>
      </c>
      <c r="BA151" s="278">
        <f t="shared" si="139"/>
        <v>674.06770227559196</v>
      </c>
      <c r="BB151" s="278">
        <f t="shared" si="140"/>
        <v>674.06770227559196</v>
      </c>
      <c r="BC151" s="198"/>
      <c r="BD151" s="284">
        <v>0</v>
      </c>
      <c r="BE151" s="298">
        <v>0</v>
      </c>
      <c r="BF151" s="278">
        <f t="shared" si="141"/>
        <v>79.440000000000012</v>
      </c>
      <c r="BG151" s="278">
        <f t="shared" si="142"/>
        <v>674.06770227559196</v>
      </c>
      <c r="BH151" s="278">
        <f t="shared" si="143"/>
        <v>674.06770227559196</v>
      </c>
      <c r="BI151" s="198"/>
      <c r="BJ151" s="284">
        <v>0</v>
      </c>
      <c r="BK151" s="298">
        <v>0</v>
      </c>
      <c r="BL151" s="278">
        <f t="shared" si="144"/>
        <v>79.440000000000012</v>
      </c>
      <c r="BM151" s="278">
        <f t="shared" si="145"/>
        <v>674.06770227559196</v>
      </c>
      <c r="BN151" s="278">
        <f t="shared" si="146"/>
        <v>674.06770227559196</v>
      </c>
      <c r="BO151" s="198"/>
      <c r="BP151" s="342">
        <f t="shared" si="130"/>
        <v>-15.8</v>
      </c>
      <c r="BQ151" s="284"/>
      <c r="BR151" s="284"/>
      <c r="BS151" s="285" t="s">
        <v>114</v>
      </c>
      <c r="BT151" s="183" t="s">
        <v>114</v>
      </c>
      <c r="BU151" s="183" t="s">
        <v>114</v>
      </c>
      <c r="BV151" s="299"/>
      <c r="BW151" s="284"/>
      <c r="BX151" s="284"/>
      <c r="BY151" s="285" t="s">
        <v>114</v>
      </c>
      <c r="BZ151" s="183" t="s">
        <v>114</v>
      </c>
      <c r="CA151" s="183" t="s">
        <v>114</v>
      </c>
    </row>
    <row r="152" spans="2:83" x14ac:dyDescent="0.25">
      <c r="B152" s="287">
        <v>45047</v>
      </c>
      <c r="C152" s="165">
        <f t="shared" si="122"/>
        <v>31</v>
      </c>
      <c r="D152" s="288">
        <v>71.62</v>
      </c>
      <c r="E152" s="335">
        <v>1.3522799999999999</v>
      </c>
      <c r="F152" s="288">
        <v>-4.37</v>
      </c>
      <c r="G152" s="278">
        <v>1.7085755026</v>
      </c>
      <c r="H152" s="288">
        <f t="shared" si="131"/>
        <v>67.450779232704676</v>
      </c>
      <c r="I152" s="278">
        <f t="shared" si="132"/>
        <v>573.98739638469988</v>
      </c>
      <c r="J152" s="288">
        <f t="shared" si="123"/>
        <v>572.27882088209992</v>
      </c>
      <c r="K152" s="171">
        <f t="shared" si="124"/>
        <v>0.93898352415526387</v>
      </c>
      <c r="L152" s="172">
        <f t="shared" si="119"/>
        <v>0.15000000000000036</v>
      </c>
      <c r="M152" s="288">
        <v>-4.22</v>
      </c>
      <c r="N152" s="290">
        <f t="shared" si="125"/>
        <v>66.516304882259178</v>
      </c>
      <c r="O152" s="278">
        <f t="shared" si="126"/>
        <v>566.03527921864008</v>
      </c>
      <c r="P152" s="290">
        <f t="shared" si="127"/>
        <v>573.55527921864007</v>
      </c>
      <c r="Q152" s="291"/>
      <c r="R152" s="292"/>
      <c r="S152" s="291"/>
      <c r="T152" s="284">
        <f t="shared" si="128"/>
        <v>601.94630708663203</v>
      </c>
      <c r="U152" s="293">
        <f t="shared" si="129"/>
        <v>609.46630708663201</v>
      </c>
      <c r="V152" s="291"/>
      <c r="W152" s="292"/>
      <c r="X152" s="340">
        <v>-7.52</v>
      </c>
      <c r="Y152" s="295">
        <v>0.22</v>
      </c>
      <c r="Z152" s="341">
        <v>573.87</v>
      </c>
      <c r="AA152" s="290">
        <v>-15.5</v>
      </c>
      <c r="AB152" s="288">
        <f t="shared" si="133"/>
        <v>477.3334269977928</v>
      </c>
      <c r="AC152" s="319">
        <f t="shared" si="134"/>
        <v>56.120000000000005</v>
      </c>
      <c r="AD152" s="793">
        <v>924.7</v>
      </c>
      <c r="AE152" s="790">
        <v>478.36850908799994</v>
      </c>
      <c r="AF152" s="279">
        <v>8.98</v>
      </c>
      <c r="AG152" s="288">
        <f t="shared" si="120"/>
        <v>11.129999999999999</v>
      </c>
      <c r="AH152" s="291"/>
      <c r="AI152" s="297"/>
      <c r="AJ152" s="171">
        <f t="shared" si="118"/>
        <v>0.53040310010366742</v>
      </c>
      <c r="AK152" s="290">
        <v>37.987470029424664</v>
      </c>
      <c r="AL152" s="190">
        <f t="shared" si="121"/>
        <v>323.26281868748339</v>
      </c>
      <c r="AM152" s="171">
        <v>0.49490000000000001</v>
      </c>
      <c r="AN152" s="292"/>
      <c r="AO152" s="298"/>
      <c r="AP152" s="290">
        <v>-3.65</v>
      </c>
      <c r="AQ152" s="288">
        <f t="shared" si="117"/>
        <v>0.7200000000000002</v>
      </c>
      <c r="AR152" s="284">
        <v>0</v>
      </c>
      <c r="AS152" s="284">
        <v>0</v>
      </c>
      <c r="AT152" s="278">
        <f t="shared" si="135"/>
        <v>71.62</v>
      </c>
      <c r="AU152" s="278">
        <f t="shared" si="136"/>
        <v>609.46630708663201</v>
      </c>
      <c r="AV152" s="278">
        <f t="shared" si="137"/>
        <v>609.46630708663201</v>
      </c>
      <c r="AW152" s="198"/>
      <c r="AX152" s="284">
        <v>0</v>
      </c>
      <c r="AY152" s="284">
        <v>0</v>
      </c>
      <c r="AZ152" s="278">
        <f t="shared" si="138"/>
        <v>71.62</v>
      </c>
      <c r="BA152" s="278">
        <f t="shared" si="139"/>
        <v>609.46630708663201</v>
      </c>
      <c r="BB152" s="278">
        <f t="shared" si="140"/>
        <v>609.46630708663201</v>
      </c>
      <c r="BC152" s="198"/>
      <c r="BD152" s="284">
        <v>0</v>
      </c>
      <c r="BE152" s="284">
        <v>0</v>
      </c>
      <c r="BF152" s="278">
        <f t="shared" si="141"/>
        <v>71.62</v>
      </c>
      <c r="BG152" s="278">
        <f t="shared" si="142"/>
        <v>609.46630708663201</v>
      </c>
      <c r="BH152" s="278">
        <f t="shared" si="143"/>
        <v>609.46630708663201</v>
      </c>
      <c r="BI152" s="198"/>
      <c r="BJ152" s="284">
        <v>0</v>
      </c>
      <c r="BK152" s="284">
        <v>0</v>
      </c>
      <c r="BL152" s="278">
        <f t="shared" si="144"/>
        <v>71.62</v>
      </c>
      <c r="BM152" s="278">
        <f t="shared" si="145"/>
        <v>609.46630708663201</v>
      </c>
      <c r="BN152" s="278">
        <f t="shared" si="146"/>
        <v>609.46630708663201</v>
      </c>
      <c r="BO152" s="198"/>
      <c r="BP152" s="342">
        <f t="shared" si="130"/>
        <v>-15.25</v>
      </c>
      <c r="BQ152" s="284"/>
      <c r="BR152" s="284"/>
      <c r="BS152" s="285" t="s">
        <v>114</v>
      </c>
      <c r="BT152" s="183" t="s">
        <v>114</v>
      </c>
      <c r="BU152" s="183" t="s">
        <v>114</v>
      </c>
      <c r="BV152" s="299"/>
      <c r="BW152" s="284"/>
      <c r="BX152" s="284"/>
      <c r="BY152" s="285" t="s">
        <v>114</v>
      </c>
      <c r="BZ152" s="183" t="s">
        <v>114</v>
      </c>
      <c r="CA152" s="183" t="s">
        <v>114</v>
      </c>
    </row>
    <row r="153" spans="2:83" x14ac:dyDescent="0.25">
      <c r="B153" s="287">
        <v>45078</v>
      </c>
      <c r="C153" s="165">
        <f t="shared" si="122"/>
        <v>30</v>
      </c>
      <c r="D153" s="288">
        <v>70.27</v>
      </c>
      <c r="E153" s="335">
        <v>1.32846</v>
      </c>
      <c r="F153" s="288">
        <v>-3.33</v>
      </c>
      <c r="G153" s="278">
        <v>1.399</v>
      </c>
      <c r="H153" s="288">
        <f t="shared" si="131"/>
        <v>67.107347979082192</v>
      </c>
      <c r="I153" s="278">
        <f t="shared" si="132"/>
        <v>561.00575780858799</v>
      </c>
      <c r="J153" s="288">
        <f t="shared" si="123"/>
        <v>559.60675780858799</v>
      </c>
      <c r="K153" s="171">
        <f t="shared" si="124"/>
        <v>0.95261135619752391</v>
      </c>
      <c r="L153" s="172">
        <f t="shared" si="119"/>
        <v>-0.66000000000000014</v>
      </c>
      <c r="M153" s="288">
        <v>-3.99</v>
      </c>
      <c r="N153" s="290">
        <f t="shared" si="125"/>
        <v>65.57543988792419</v>
      </c>
      <c r="O153" s="278">
        <f t="shared" si="126"/>
        <v>548.199272595656</v>
      </c>
      <c r="P153" s="290">
        <f t="shared" si="127"/>
        <v>554.08927259565598</v>
      </c>
      <c r="Q153" s="291"/>
      <c r="R153" s="292"/>
      <c r="S153" s="291"/>
      <c r="T153" s="284">
        <f t="shared" si="128"/>
        <v>581.55497865565394</v>
      </c>
      <c r="U153" s="293">
        <f t="shared" si="129"/>
        <v>587.44497865565393</v>
      </c>
      <c r="V153" s="291"/>
      <c r="W153" s="292"/>
      <c r="X153" s="340">
        <v>-5.89</v>
      </c>
      <c r="Y153" s="295">
        <v>0.21</v>
      </c>
      <c r="Z153" s="341">
        <v>553.36</v>
      </c>
      <c r="AA153" s="290">
        <v>-13.85</v>
      </c>
      <c r="AB153" s="288">
        <f t="shared" si="133"/>
        <v>471.4320726783485</v>
      </c>
      <c r="AC153" s="319">
        <f t="shared" si="134"/>
        <v>56.419999999999995</v>
      </c>
      <c r="AD153" s="793">
        <v>926.9</v>
      </c>
      <c r="AE153" s="790">
        <v>472.03119696599998</v>
      </c>
      <c r="AF153" s="279">
        <v>8.98</v>
      </c>
      <c r="AG153" s="288">
        <f t="shared" si="120"/>
        <v>10.52</v>
      </c>
      <c r="AH153" s="291"/>
      <c r="AI153" s="297"/>
      <c r="AJ153" s="171">
        <f t="shared" si="118"/>
        <v>0.52113122657041355</v>
      </c>
      <c r="AK153" s="290">
        <v>36.619891291102959</v>
      </c>
      <c r="AL153" s="190">
        <f t="shared" si="121"/>
        <v>306.13592226945133</v>
      </c>
      <c r="AM153" s="171">
        <v>0.47370000000000001</v>
      </c>
      <c r="AN153" s="292"/>
      <c r="AO153" s="298"/>
      <c r="AP153" s="290">
        <v>-3.22</v>
      </c>
      <c r="AQ153" s="288">
        <f t="shared" si="117"/>
        <v>0.10999999999999988</v>
      </c>
      <c r="AR153" s="284">
        <v>0</v>
      </c>
      <c r="AS153" s="284">
        <v>0</v>
      </c>
      <c r="AT153" s="278">
        <f t="shared" si="135"/>
        <v>70.27</v>
      </c>
      <c r="AU153" s="278">
        <f t="shared" si="136"/>
        <v>587.44497865565393</v>
      </c>
      <c r="AV153" s="278">
        <f t="shared" si="137"/>
        <v>587.44497865565393</v>
      </c>
      <c r="AW153" s="198"/>
      <c r="AX153" s="284">
        <v>0</v>
      </c>
      <c r="AY153" s="284">
        <v>0</v>
      </c>
      <c r="AZ153" s="278">
        <f t="shared" si="138"/>
        <v>70.27</v>
      </c>
      <c r="BA153" s="278">
        <f t="shared" si="139"/>
        <v>587.44497865565393</v>
      </c>
      <c r="BB153" s="278">
        <f t="shared" si="140"/>
        <v>587.44497865565393</v>
      </c>
      <c r="BC153" s="198"/>
      <c r="BD153" s="284">
        <v>0</v>
      </c>
      <c r="BE153" s="284">
        <v>0</v>
      </c>
      <c r="BF153" s="278">
        <f t="shared" si="141"/>
        <v>70.27</v>
      </c>
      <c r="BG153" s="278">
        <f t="shared" si="142"/>
        <v>587.44497865565393</v>
      </c>
      <c r="BH153" s="278">
        <f t="shared" si="143"/>
        <v>587.44497865565393</v>
      </c>
      <c r="BI153" s="198"/>
      <c r="BJ153" s="284">
        <v>0</v>
      </c>
      <c r="BK153" s="284">
        <v>0</v>
      </c>
      <c r="BL153" s="278">
        <f t="shared" si="144"/>
        <v>70.27</v>
      </c>
      <c r="BM153" s="278">
        <f t="shared" si="145"/>
        <v>587.44497865565393</v>
      </c>
      <c r="BN153" s="278">
        <f t="shared" si="146"/>
        <v>587.44497865565393</v>
      </c>
      <c r="BO153" s="198"/>
      <c r="BP153" s="342">
        <f t="shared" si="130"/>
        <v>-13.6</v>
      </c>
      <c r="BQ153" s="284"/>
      <c r="BR153" s="284"/>
      <c r="BS153" s="285" t="s">
        <v>114</v>
      </c>
      <c r="BT153" s="183" t="s">
        <v>114</v>
      </c>
      <c r="BU153" s="183" t="s">
        <v>114</v>
      </c>
      <c r="BV153" s="299"/>
      <c r="BW153" s="284"/>
      <c r="BX153" s="284"/>
      <c r="BY153" s="285" t="s">
        <v>114</v>
      </c>
      <c r="BZ153" s="183" t="s">
        <v>114</v>
      </c>
      <c r="CA153" s="183" t="s">
        <v>114</v>
      </c>
    </row>
    <row r="154" spans="2:83" x14ac:dyDescent="0.25">
      <c r="B154" s="287">
        <v>45108</v>
      </c>
      <c r="C154" s="165">
        <f t="shared" si="122"/>
        <v>31</v>
      </c>
      <c r="D154" s="288">
        <v>76.03</v>
      </c>
      <c r="E154" s="289">
        <v>1.3211200000000001</v>
      </c>
      <c r="F154" s="288">
        <v>-2.44</v>
      </c>
      <c r="G154" s="278">
        <v>0.49553773200000001</v>
      </c>
      <c r="H154" s="288">
        <f t="shared" si="131"/>
        <v>73.649605412998554</v>
      </c>
      <c r="I154" s="278">
        <f t="shared" si="132"/>
        <v>612.29604146769611</v>
      </c>
      <c r="J154" s="288">
        <f t="shared" si="123"/>
        <v>611.80050373569611</v>
      </c>
      <c r="K154" s="171">
        <f t="shared" si="124"/>
        <v>0.96790740497172167</v>
      </c>
      <c r="L154" s="172">
        <f t="shared" si="119"/>
        <v>-2.2799999999999998</v>
      </c>
      <c r="M154" s="288">
        <v>-4.72</v>
      </c>
      <c r="N154" s="290">
        <f t="shared" si="125"/>
        <v>70.668884640328031</v>
      </c>
      <c r="O154" s="278">
        <f t="shared" si="126"/>
        <v>587.51541271086398</v>
      </c>
      <c r="P154" s="290">
        <f t="shared" si="127"/>
        <v>592.84541271086403</v>
      </c>
      <c r="Q154" s="291"/>
      <c r="R154" s="292"/>
      <c r="S154" s="291"/>
      <c r="T154" s="284">
        <f t="shared" si="128"/>
        <v>626.75577658683198</v>
      </c>
      <c r="U154" s="293">
        <f t="shared" si="129"/>
        <v>632.08577658683203</v>
      </c>
      <c r="V154" s="291"/>
      <c r="W154" s="292"/>
      <c r="X154" s="340">
        <v>-5.33</v>
      </c>
      <c r="Y154" s="295">
        <v>0.14000000000000001</v>
      </c>
      <c r="Z154" s="341">
        <v>594.01</v>
      </c>
      <c r="AA154" s="290">
        <v>-11.91</v>
      </c>
      <c r="AB154" s="288">
        <f t="shared" si="133"/>
        <v>532.81119599037129</v>
      </c>
      <c r="AC154" s="319">
        <f t="shared" si="134"/>
        <v>64.12</v>
      </c>
      <c r="AD154" s="793">
        <v>931.4</v>
      </c>
      <c r="AE154" s="790">
        <v>533.5751346080001</v>
      </c>
      <c r="AF154" s="279">
        <v>8.98</v>
      </c>
      <c r="AG154" s="288">
        <f t="shared" si="120"/>
        <v>9.4700000000000006</v>
      </c>
      <c r="AH154" s="291"/>
      <c r="AI154" s="297"/>
      <c r="AJ154" s="171">
        <f t="shared" si="118"/>
        <v>0.49439641673342799</v>
      </c>
      <c r="AK154" s="290">
        <v>37.588959564242529</v>
      </c>
      <c r="AL154" s="190">
        <f t="shared" si="121"/>
        <v>312.50094301269587</v>
      </c>
      <c r="AM154" s="171">
        <v>0.4723</v>
      </c>
      <c r="AN154" s="292"/>
      <c r="AO154" s="298"/>
      <c r="AP154" s="290">
        <v>-2.4300000000000002</v>
      </c>
      <c r="AQ154" s="288">
        <f t="shared" si="117"/>
        <v>9.9999999999997868E-3</v>
      </c>
      <c r="AR154" s="284">
        <v>0</v>
      </c>
      <c r="AS154" s="284">
        <v>0</v>
      </c>
      <c r="AT154" s="278">
        <f t="shared" si="135"/>
        <v>76.03</v>
      </c>
      <c r="AU154" s="278">
        <f t="shared" si="136"/>
        <v>632.08577658683203</v>
      </c>
      <c r="AV154" s="278">
        <f t="shared" si="137"/>
        <v>632.08577658683203</v>
      </c>
      <c r="AW154" s="198"/>
      <c r="AX154" s="284">
        <v>0</v>
      </c>
      <c r="AY154" s="284">
        <v>0</v>
      </c>
      <c r="AZ154" s="278">
        <f t="shared" si="138"/>
        <v>76.03</v>
      </c>
      <c r="BA154" s="278">
        <f t="shared" si="139"/>
        <v>632.08577658683203</v>
      </c>
      <c r="BB154" s="278">
        <f t="shared" si="140"/>
        <v>632.08577658683203</v>
      </c>
      <c r="BC154" s="198"/>
      <c r="BD154" s="284">
        <v>0</v>
      </c>
      <c r="BE154" s="284">
        <v>0</v>
      </c>
      <c r="BF154" s="278">
        <f t="shared" si="141"/>
        <v>76.03</v>
      </c>
      <c r="BG154" s="278">
        <f t="shared" si="142"/>
        <v>632.08577658683203</v>
      </c>
      <c r="BH154" s="278">
        <f t="shared" si="143"/>
        <v>632.08577658683203</v>
      </c>
      <c r="BI154" s="198"/>
      <c r="BJ154" s="284">
        <v>0</v>
      </c>
      <c r="BK154" s="284">
        <v>0</v>
      </c>
      <c r="BL154" s="278">
        <f t="shared" si="144"/>
        <v>76.03</v>
      </c>
      <c r="BM154" s="278">
        <f t="shared" si="145"/>
        <v>632.08577658683203</v>
      </c>
      <c r="BN154" s="278">
        <f t="shared" si="146"/>
        <v>632.08577658683203</v>
      </c>
      <c r="BO154" s="198"/>
      <c r="BP154" s="342">
        <f t="shared" si="130"/>
        <v>-11.66</v>
      </c>
      <c r="BQ154" s="284"/>
      <c r="BR154" s="284"/>
      <c r="BS154" s="285" t="s">
        <v>114</v>
      </c>
      <c r="BT154" s="183" t="s">
        <v>114</v>
      </c>
      <c r="BU154" s="183" t="s">
        <v>114</v>
      </c>
      <c r="BV154" s="299"/>
      <c r="BW154" s="284"/>
      <c r="BX154" s="284"/>
      <c r="BY154" s="285" t="s">
        <v>114</v>
      </c>
      <c r="BZ154" s="183" t="s">
        <v>114</v>
      </c>
      <c r="CA154" s="183" t="s">
        <v>114</v>
      </c>
    </row>
    <row r="155" spans="2:83" x14ac:dyDescent="0.25">
      <c r="B155" s="287">
        <v>45139</v>
      </c>
      <c r="C155" s="165">
        <f t="shared" si="122"/>
        <v>31</v>
      </c>
      <c r="D155" s="288">
        <v>81.319999999999993</v>
      </c>
      <c r="E155" s="335">
        <v>1.3485</v>
      </c>
      <c r="F155" s="288">
        <v>-0.8</v>
      </c>
      <c r="G155" s="278">
        <v>-0.2985913</v>
      </c>
      <c r="H155" s="288">
        <f t="shared" si="131"/>
        <v>80.484813389079861</v>
      </c>
      <c r="I155" s="278">
        <f t="shared" si="132"/>
        <v>682.98891060139999</v>
      </c>
      <c r="J155" s="288">
        <f t="shared" si="123"/>
        <v>683.28750190139999</v>
      </c>
      <c r="K155" s="171">
        <f t="shared" si="124"/>
        <v>0.99016232169208074</v>
      </c>
      <c r="L155" s="172">
        <f t="shared" si="119"/>
        <v>-4.1800000000000006</v>
      </c>
      <c r="M155" s="288">
        <v>-4.9800000000000004</v>
      </c>
      <c r="N155" s="290">
        <f t="shared" si="125"/>
        <v>75.954656496325029</v>
      </c>
      <c r="O155" s="278">
        <f t="shared" si="126"/>
        <v>644.54629278629989</v>
      </c>
      <c r="P155" s="290">
        <f t="shared" si="127"/>
        <v>647.81629278629987</v>
      </c>
      <c r="Q155" s="291"/>
      <c r="R155" s="292"/>
      <c r="S155" s="291"/>
      <c r="T155" s="284">
        <f t="shared" si="128"/>
        <v>686.80625005739989</v>
      </c>
      <c r="U155" s="293">
        <f t="shared" si="129"/>
        <v>690.07625005739988</v>
      </c>
      <c r="V155" s="291"/>
      <c r="W155" s="292"/>
      <c r="X155" s="340">
        <v>-3.27</v>
      </c>
      <c r="Y155" s="295">
        <v>0.12</v>
      </c>
      <c r="Z155" s="341">
        <v>648.28</v>
      </c>
      <c r="AA155" s="290">
        <v>-11.19</v>
      </c>
      <c r="AB155" s="288">
        <f t="shared" si="133"/>
        <v>594.82929737720247</v>
      </c>
      <c r="AC155" s="319">
        <f t="shared" si="134"/>
        <v>70.13</v>
      </c>
      <c r="AD155" s="793">
        <v>932</v>
      </c>
      <c r="AE155" s="790">
        <v>593.5705069579999</v>
      </c>
      <c r="AF155" s="279">
        <v>8.98</v>
      </c>
      <c r="AG155" s="288">
        <f t="shared" si="120"/>
        <v>10.389999999999999</v>
      </c>
      <c r="AH155" s="291"/>
      <c r="AI155" s="297"/>
      <c r="AJ155" s="171">
        <f t="shared" si="118"/>
        <v>0.50276740421529542</v>
      </c>
      <c r="AK155" s="290">
        <v>40.885045310787824</v>
      </c>
      <c r="AL155" s="190">
        <f t="shared" si="121"/>
        <v>346.94784495198411</v>
      </c>
      <c r="AM155" s="171">
        <v>0.4637</v>
      </c>
      <c r="AN155" s="292"/>
      <c r="AO155" s="298"/>
      <c r="AP155" s="299">
        <v>-0.61</v>
      </c>
      <c r="AQ155" s="288">
        <f t="shared" si="117"/>
        <v>0.19000000000000006</v>
      </c>
      <c r="AR155" s="284">
        <v>0</v>
      </c>
      <c r="AS155" s="284">
        <v>0</v>
      </c>
      <c r="AT155" s="278">
        <f t="shared" si="135"/>
        <v>81.320000000000007</v>
      </c>
      <c r="AU155" s="278">
        <f t="shared" si="136"/>
        <v>690.07625005739999</v>
      </c>
      <c r="AV155" s="278">
        <f t="shared" si="137"/>
        <v>690.07625005739999</v>
      </c>
      <c r="AW155" s="198"/>
      <c r="AX155" s="284">
        <v>0</v>
      </c>
      <c r="AY155" s="284">
        <v>0</v>
      </c>
      <c r="AZ155" s="278">
        <f t="shared" si="138"/>
        <v>81.320000000000007</v>
      </c>
      <c r="BA155" s="278">
        <f t="shared" si="139"/>
        <v>690.07625005739999</v>
      </c>
      <c r="BB155" s="278">
        <f t="shared" si="140"/>
        <v>690.07625005739999</v>
      </c>
      <c r="BC155" s="198"/>
      <c r="BD155" s="284">
        <v>0</v>
      </c>
      <c r="BE155" s="298">
        <v>0</v>
      </c>
      <c r="BF155" s="278">
        <f t="shared" si="141"/>
        <v>81.320000000000007</v>
      </c>
      <c r="BG155" s="278">
        <f t="shared" si="142"/>
        <v>690.07625005739999</v>
      </c>
      <c r="BH155" s="278">
        <f t="shared" si="143"/>
        <v>690.07625005739999</v>
      </c>
      <c r="BI155" s="198"/>
      <c r="BJ155" s="284">
        <v>0</v>
      </c>
      <c r="BK155" s="298">
        <v>0</v>
      </c>
      <c r="BL155" s="278">
        <f t="shared" si="144"/>
        <v>81.320000000000007</v>
      </c>
      <c r="BM155" s="278">
        <f t="shared" si="145"/>
        <v>690.07625005739999</v>
      </c>
      <c r="BN155" s="278">
        <f t="shared" si="146"/>
        <v>690.07625005739999</v>
      </c>
      <c r="BO155" s="198"/>
      <c r="BP155" s="342">
        <f t="shared" si="130"/>
        <v>-10.94</v>
      </c>
      <c r="BQ155" s="284"/>
      <c r="BR155" s="284"/>
      <c r="BS155" s="285" t="s">
        <v>114</v>
      </c>
      <c r="BT155" s="183" t="s">
        <v>114</v>
      </c>
      <c r="BU155" s="183" t="s">
        <v>114</v>
      </c>
      <c r="BV155" s="299"/>
      <c r="BW155" s="284"/>
      <c r="BX155" s="284"/>
      <c r="BY155" s="285" t="s">
        <v>114</v>
      </c>
      <c r="BZ155" s="183" t="s">
        <v>114</v>
      </c>
      <c r="CA155" s="183" t="s">
        <v>114</v>
      </c>
    </row>
    <row r="156" spans="2:83" x14ac:dyDescent="0.25">
      <c r="B156" s="287">
        <v>45170</v>
      </c>
      <c r="C156" s="165">
        <f t="shared" si="122"/>
        <v>30</v>
      </c>
      <c r="D156" s="288">
        <v>89.43</v>
      </c>
      <c r="E156" s="335">
        <v>1.3532999999999999</v>
      </c>
      <c r="F156" s="288">
        <v>-2.2799999999999998</v>
      </c>
      <c r="G156" s="278">
        <v>-0.95081585589999995</v>
      </c>
      <c r="H156" s="288">
        <f t="shared" si="131"/>
        <v>87.038351324956011</v>
      </c>
      <c r="I156" s="278">
        <f t="shared" si="132"/>
        <v>741.23086976674995</v>
      </c>
      <c r="J156" s="288">
        <f t="shared" si="123"/>
        <v>742.18168562264998</v>
      </c>
      <c r="K156" s="171">
        <f t="shared" si="124"/>
        <v>0.97450519959745052</v>
      </c>
      <c r="L156" s="172">
        <f t="shared" si="119"/>
        <v>-0.91000000000000014</v>
      </c>
      <c r="M156" s="288">
        <v>-3.19</v>
      </c>
      <c r="N156" s="290">
        <f t="shared" si="125"/>
        <v>86.005151844384628</v>
      </c>
      <c r="O156" s="278">
        <f t="shared" si="126"/>
        <v>732.43199733903998</v>
      </c>
      <c r="P156" s="290">
        <f t="shared" si="127"/>
        <v>734.43199733903998</v>
      </c>
      <c r="Q156" s="291"/>
      <c r="R156" s="292"/>
      <c r="S156" s="291"/>
      <c r="T156" s="284">
        <f t="shared" si="128"/>
        <v>759.59848703653006</v>
      </c>
      <c r="U156" s="293">
        <f t="shared" si="129"/>
        <v>761.59848703653006</v>
      </c>
      <c r="V156" s="291"/>
      <c r="W156" s="292"/>
      <c r="X156" s="340">
        <v>-2</v>
      </c>
      <c r="Y156" s="295">
        <v>0.26</v>
      </c>
      <c r="Z156" s="341">
        <v>734.14</v>
      </c>
      <c r="AA156" s="290">
        <v>-15.58</v>
      </c>
      <c r="AB156" s="288">
        <f t="shared" si="133"/>
        <v>628.61124059165252</v>
      </c>
      <c r="AC156" s="319">
        <f t="shared" si="134"/>
        <v>73.850000000000009</v>
      </c>
      <c r="AD156" s="793">
        <v>935.5</v>
      </c>
      <c r="AE156" s="790">
        <v>628.88322363400005</v>
      </c>
      <c r="AF156" s="279">
        <v>8.98</v>
      </c>
      <c r="AG156" s="288">
        <f t="shared" si="120"/>
        <v>13.3</v>
      </c>
      <c r="AH156" s="291"/>
      <c r="AI156" s="297"/>
      <c r="AJ156" s="171">
        <f t="shared" si="118"/>
        <v>0.51432952852345115</v>
      </c>
      <c r="AK156" s="290">
        <v>45.996489735852244</v>
      </c>
      <c r="AL156" s="190">
        <f t="shared" si="121"/>
        <v>391.71259076167217</v>
      </c>
      <c r="AM156" s="171">
        <v>0.51649999999999996</v>
      </c>
      <c r="AN156" s="292"/>
      <c r="AO156" s="298"/>
      <c r="AP156" s="290">
        <v>-2.02</v>
      </c>
      <c r="AQ156" s="288">
        <f t="shared" si="117"/>
        <v>0.25999999999999979</v>
      </c>
      <c r="AR156" s="284">
        <v>0</v>
      </c>
      <c r="AS156" s="284">
        <v>0</v>
      </c>
      <c r="AT156" s="278">
        <f t="shared" si="135"/>
        <v>89.430000000000021</v>
      </c>
      <c r="AU156" s="278">
        <f t="shared" si="136"/>
        <v>761.59848703653006</v>
      </c>
      <c r="AV156" s="278">
        <f t="shared" si="137"/>
        <v>761.59848703653006</v>
      </c>
      <c r="AW156" s="198"/>
      <c r="AX156" s="284">
        <v>0</v>
      </c>
      <c r="AY156" s="284">
        <v>0</v>
      </c>
      <c r="AZ156" s="278">
        <f t="shared" si="138"/>
        <v>89.430000000000021</v>
      </c>
      <c r="BA156" s="278">
        <f t="shared" si="139"/>
        <v>761.59848703653006</v>
      </c>
      <c r="BB156" s="278">
        <f t="shared" si="140"/>
        <v>761.59848703653006</v>
      </c>
      <c r="BC156" s="198"/>
      <c r="BD156" s="284">
        <v>0</v>
      </c>
      <c r="BE156" s="284">
        <v>0</v>
      </c>
      <c r="BF156" s="278">
        <f t="shared" si="141"/>
        <v>89.430000000000021</v>
      </c>
      <c r="BG156" s="278">
        <f t="shared" si="142"/>
        <v>761.59848703653006</v>
      </c>
      <c r="BH156" s="278">
        <f t="shared" si="143"/>
        <v>761.59848703653006</v>
      </c>
      <c r="BI156" s="198"/>
      <c r="BJ156" s="284">
        <v>0</v>
      </c>
      <c r="BK156" s="284">
        <v>0</v>
      </c>
      <c r="BL156" s="278">
        <f t="shared" si="144"/>
        <v>89.430000000000021</v>
      </c>
      <c r="BM156" s="278">
        <f t="shared" si="145"/>
        <v>761.59848703653006</v>
      </c>
      <c r="BN156" s="278">
        <f t="shared" si="146"/>
        <v>761.59848703653006</v>
      </c>
      <c r="BO156" s="198"/>
      <c r="BP156" s="342">
        <f t="shared" si="130"/>
        <v>-15.33</v>
      </c>
      <c r="BQ156" s="284"/>
      <c r="BR156" s="284"/>
      <c r="BS156" s="285" t="s">
        <v>114</v>
      </c>
      <c r="BT156" s="183" t="s">
        <v>114</v>
      </c>
      <c r="BU156" s="183" t="s">
        <v>114</v>
      </c>
      <c r="BV156" s="299"/>
      <c r="BW156" s="284"/>
      <c r="BX156" s="284"/>
      <c r="BY156" s="285" t="s">
        <v>114</v>
      </c>
      <c r="BZ156" s="183" t="s">
        <v>114</v>
      </c>
      <c r="CA156" s="183" t="s">
        <v>114</v>
      </c>
    </row>
    <row r="157" spans="2:83" x14ac:dyDescent="0.25">
      <c r="B157" s="287">
        <v>45200</v>
      </c>
      <c r="C157" s="165">
        <f t="shared" si="122"/>
        <v>31</v>
      </c>
      <c r="D157" s="288">
        <v>85.47</v>
      </c>
      <c r="E157" s="289">
        <v>1.37165</v>
      </c>
      <c r="F157" s="288">
        <v>-2.93</v>
      </c>
      <c r="G157" s="278">
        <v>-0.34327039250000002</v>
      </c>
      <c r="H157" s="288">
        <f t="shared" si="131"/>
        <v>82.500231035894046</v>
      </c>
      <c r="I157" s="278">
        <f t="shared" si="132"/>
        <v>712.11024289166994</v>
      </c>
      <c r="J157" s="288">
        <f t="shared" si="123"/>
        <v>712.45351328416996</v>
      </c>
      <c r="K157" s="171">
        <f t="shared" si="124"/>
        <v>0.96571896571896565</v>
      </c>
      <c r="L157" s="172">
        <f t="shared" si="119"/>
        <v>1.0100000000000002</v>
      </c>
      <c r="M157" s="288">
        <v>-1.92</v>
      </c>
      <c r="N157" s="290">
        <f t="shared" si="125"/>
        <v>83.03445338095554</v>
      </c>
      <c r="O157" s="278">
        <f>((D157+M157)*6.29287*E157)+X157</f>
        <v>716.72144457102502</v>
      </c>
      <c r="P157" s="290">
        <f t="shared" si="127"/>
        <v>721.17144457102506</v>
      </c>
      <c r="Q157" s="291"/>
      <c r="R157" s="292"/>
      <c r="S157" s="291"/>
      <c r="T157" s="284">
        <f t="shared" si="128"/>
        <v>733.29414563118496</v>
      </c>
      <c r="U157" s="293">
        <f t="shared" si="129"/>
        <v>737.74414563118501</v>
      </c>
      <c r="V157" s="291"/>
      <c r="W157" s="292"/>
      <c r="X157" s="340">
        <v>-4.45</v>
      </c>
      <c r="Y157" s="295">
        <v>0.35</v>
      </c>
      <c r="Z157" s="341">
        <v>723.14</v>
      </c>
      <c r="AA157" s="290">
        <v>-18.239999999999998</v>
      </c>
      <c r="AB157" s="288">
        <f t="shared" si="133"/>
        <v>580.02135061740978</v>
      </c>
      <c r="AC157" s="319">
        <f t="shared" si="134"/>
        <v>67.23</v>
      </c>
      <c r="AD157" s="793">
        <v>928.3</v>
      </c>
      <c r="AE157" s="790">
        <v>579.95254877000002</v>
      </c>
      <c r="AF157" s="279">
        <v>8.98</v>
      </c>
      <c r="AG157" s="288">
        <f t="shared" si="120"/>
        <v>15.309999999999999</v>
      </c>
      <c r="AH157" s="291"/>
      <c r="AI157" s="297"/>
      <c r="AJ157" s="171">
        <f t="shared" si="118"/>
        <v>0.52837304498906401</v>
      </c>
      <c r="AK157" s="290">
        <v>45.160044155215303</v>
      </c>
      <c r="AL157" s="190">
        <f t="shared" si="121"/>
        <v>389.80412065000473</v>
      </c>
      <c r="AM157" s="171">
        <v>0.51900000000000002</v>
      </c>
      <c r="AN157" s="292"/>
      <c r="AO157" s="298"/>
      <c r="AP157" s="342">
        <v>-2.75</v>
      </c>
      <c r="AQ157" s="288">
        <f t="shared" si="117"/>
        <v>0.18000000000000016</v>
      </c>
      <c r="AR157" s="284">
        <v>0</v>
      </c>
      <c r="AS157" s="284">
        <v>0</v>
      </c>
      <c r="AT157" s="278">
        <f t="shared" si="135"/>
        <v>85.47</v>
      </c>
      <c r="AU157" s="278">
        <f t="shared" si="136"/>
        <v>737.74414563118501</v>
      </c>
      <c r="AV157" s="278">
        <f t="shared" si="137"/>
        <v>737.74414563118501</v>
      </c>
      <c r="AW157" s="198"/>
      <c r="AX157" s="284">
        <v>0</v>
      </c>
      <c r="AY157" s="284">
        <v>0</v>
      </c>
      <c r="AZ157" s="278">
        <f t="shared" si="138"/>
        <v>85.47</v>
      </c>
      <c r="BA157" s="278">
        <f t="shared" si="139"/>
        <v>737.74414563118501</v>
      </c>
      <c r="BB157" s="278">
        <f t="shared" si="140"/>
        <v>737.74414563118501</v>
      </c>
      <c r="BC157" s="198"/>
      <c r="BD157" s="284">
        <v>0</v>
      </c>
      <c r="BE157" s="298">
        <v>0</v>
      </c>
      <c r="BF157" s="278">
        <f t="shared" si="141"/>
        <v>85.47</v>
      </c>
      <c r="BG157" s="278">
        <f t="shared" si="142"/>
        <v>737.74414563118501</v>
      </c>
      <c r="BH157" s="278">
        <f t="shared" si="143"/>
        <v>737.74414563118501</v>
      </c>
      <c r="BI157" s="198"/>
      <c r="BJ157" s="284">
        <v>0</v>
      </c>
      <c r="BK157" s="298">
        <v>0</v>
      </c>
      <c r="BL157" s="278">
        <f t="shared" si="144"/>
        <v>85.47</v>
      </c>
      <c r="BM157" s="278">
        <f t="shared" si="145"/>
        <v>737.74414563118501</v>
      </c>
      <c r="BN157" s="278">
        <f t="shared" si="146"/>
        <v>737.74414563118501</v>
      </c>
      <c r="BO157" s="198"/>
      <c r="BP157" s="342">
        <f t="shared" si="130"/>
        <v>-17.989999999999998</v>
      </c>
      <c r="BQ157" s="284"/>
      <c r="BR157" s="284"/>
      <c r="BS157" s="285" t="s">
        <v>114</v>
      </c>
      <c r="BT157" s="183" t="s">
        <v>114</v>
      </c>
      <c r="BU157" s="183" t="s">
        <v>114</v>
      </c>
      <c r="BV157" s="299"/>
      <c r="BW157" s="284"/>
      <c r="BX157" s="284"/>
      <c r="BY157" s="285" t="s">
        <v>114</v>
      </c>
      <c r="BZ157" s="183" t="s">
        <v>114</v>
      </c>
      <c r="CA157" s="183" t="s">
        <v>114</v>
      </c>
      <c r="CB157" s="1">
        <v>924.7</v>
      </c>
      <c r="CC157" s="10">
        <v>925.6</v>
      </c>
      <c r="CD157" s="10">
        <v>925.6</v>
      </c>
      <c r="CE157" s="615">
        <v>917.9</v>
      </c>
    </row>
    <row r="158" spans="2:83" x14ac:dyDescent="0.25">
      <c r="B158" s="287">
        <v>45231</v>
      </c>
      <c r="C158" s="165">
        <f t="shared" si="122"/>
        <v>30</v>
      </c>
      <c r="D158" s="278">
        <v>77.38</v>
      </c>
      <c r="E158" s="289">
        <v>1.3709899999999999</v>
      </c>
      <c r="F158" s="278">
        <v>-3.88</v>
      </c>
      <c r="G158" s="278">
        <v>0.20197356920000001</v>
      </c>
      <c r="H158" s="278">
        <f t="shared" si="131"/>
        <v>73.523410543322626</v>
      </c>
      <c r="I158" s="278">
        <f>(($D158+F158)*$E158*6.29287)+G158</f>
        <v>634.32041890475</v>
      </c>
      <c r="J158" s="278">
        <f t="shared" si="123"/>
        <v>634.11844533554995</v>
      </c>
      <c r="K158" s="198">
        <f t="shared" si="124"/>
        <v>0.94985784440423893</v>
      </c>
      <c r="L158" s="278">
        <f t="shared" si="119"/>
        <v>3.53</v>
      </c>
      <c r="M158" s="278">
        <v>-0.35</v>
      </c>
      <c r="N158" s="342">
        <f t="shared" si="125"/>
        <v>76.167637449245561</v>
      </c>
      <c r="O158" s="278">
        <f>(($D158+M158)*$E158*6.29287)+X158</f>
        <v>657.13338563533887</v>
      </c>
      <c r="P158" s="343">
        <f t="shared" si="127"/>
        <v>664.57338563533892</v>
      </c>
      <c r="Q158" s="284"/>
      <c r="R158" s="299">
        <v>0</v>
      </c>
      <c r="S158" s="284"/>
      <c r="T158" s="284">
        <f>(($D158+R158)*$E158*6.29287)+X158</f>
        <v>660.15299727979379</v>
      </c>
      <c r="U158" s="343">
        <f t="shared" si="129"/>
        <v>667.59299727979385</v>
      </c>
      <c r="V158" s="284"/>
      <c r="W158" s="299">
        <v>0</v>
      </c>
      <c r="X158" s="340">
        <v>-7.44</v>
      </c>
      <c r="Y158" s="333">
        <v>0.45</v>
      </c>
      <c r="Z158" s="341">
        <v>666.17</v>
      </c>
      <c r="AA158" s="290">
        <v>-20.77</v>
      </c>
      <c r="AB158" s="288">
        <f t="shared" si="133"/>
        <v>488.16316170553091</v>
      </c>
      <c r="AC158" s="319">
        <f t="shared" si="134"/>
        <v>56.61</v>
      </c>
      <c r="AD158" s="793">
        <v>926.3</v>
      </c>
      <c r="AE158" s="790">
        <v>487.74669277599992</v>
      </c>
      <c r="AF158" s="279">
        <v>8.98</v>
      </c>
      <c r="AG158" s="288">
        <f t="shared" si="120"/>
        <v>16.89</v>
      </c>
      <c r="AH158" s="291"/>
      <c r="AI158" s="297"/>
      <c r="AJ158" s="171">
        <f t="shared" si="118"/>
        <v>0.53203477421224421</v>
      </c>
      <c r="AK158" s="290">
        <v>41.168850828543455</v>
      </c>
      <c r="AL158" s="190">
        <f t="shared" si="121"/>
        <v>355.18268957343054</v>
      </c>
      <c r="AM158" s="171">
        <v>0.52470000000000006</v>
      </c>
      <c r="AN158" s="292"/>
      <c r="AO158" s="298"/>
      <c r="AP158" s="290">
        <v>-3.62</v>
      </c>
      <c r="AQ158" s="288">
        <f t="shared" si="117"/>
        <v>0.25999999999999979</v>
      </c>
      <c r="AR158" s="284">
        <v>0</v>
      </c>
      <c r="AS158" s="284">
        <v>0</v>
      </c>
      <c r="AT158" s="278">
        <f t="shared" si="135"/>
        <v>77.38</v>
      </c>
      <c r="AU158" s="278">
        <f t="shared" si="136"/>
        <v>667.59299727979385</v>
      </c>
      <c r="AV158" s="278">
        <f t="shared" si="137"/>
        <v>667.59299727979385</v>
      </c>
      <c r="AW158" s="198"/>
      <c r="AX158" s="284">
        <v>0</v>
      </c>
      <c r="AY158" s="284">
        <v>0</v>
      </c>
      <c r="AZ158" s="278">
        <f t="shared" si="138"/>
        <v>77.38</v>
      </c>
      <c r="BA158" s="278">
        <f t="shared" si="139"/>
        <v>667.59299727979385</v>
      </c>
      <c r="BB158" s="278">
        <f t="shared" si="140"/>
        <v>667.59299727979385</v>
      </c>
      <c r="BC158" s="198"/>
      <c r="BD158" s="284">
        <v>0</v>
      </c>
      <c r="BE158" s="284">
        <v>0</v>
      </c>
      <c r="BF158" s="278">
        <f t="shared" si="141"/>
        <v>77.38</v>
      </c>
      <c r="BG158" s="278">
        <f t="shared" si="142"/>
        <v>667.59299727979385</v>
      </c>
      <c r="BH158" s="278">
        <f t="shared" si="143"/>
        <v>667.59299727979385</v>
      </c>
      <c r="BI158" s="198"/>
      <c r="BJ158" s="284">
        <v>0</v>
      </c>
      <c r="BK158" s="284">
        <v>0</v>
      </c>
      <c r="BL158" s="278">
        <f t="shared" si="144"/>
        <v>77.38</v>
      </c>
      <c r="BM158" s="278">
        <f t="shared" si="145"/>
        <v>667.59299727979385</v>
      </c>
      <c r="BN158" s="278">
        <f t="shared" si="146"/>
        <v>667.59299727979385</v>
      </c>
      <c r="BO158" s="198"/>
      <c r="BP158" s="342">
        <f t="shared" si="130"/>
        <v>-20.52</v>
      </c>
      <c r="BQ158" s="284"/>
      <c r="BR158" s="284"/>
      <c r="BS158" s="285" t="s">
        <v>114</v>
      </c>
      <c r="BT158" s="183" t="s">
        <v>114</v>
      </c>
      <c r="BU158" s="183" t="s">
        <v>114</v>
      </c>
      <c r="BV158" s="299"/>
      <c r="BW158" s="284"/>
      <c r="BX158" s="284"/>
      <c r="BY158" s="285" t="s">
        <v>114</v>
      </c>
      <c r="BZ158" s="183" t="s">
        <v>114</v>
      </c>
      <c r="CA158" s="183" t="s">
        <v>114</v>
      </c>
      <c r="CB158" s="1">
        <v>922.7</v>
      </c>
      <c r="CC158" s="10">
        <v>923</v>
      </c>
      <c r="CD158" s="10">
        <v>923</v>
      </c>
      <c r="CE158" s="10">
        <v>914.6</v>
      </c>
    </row>
    <row r="159" spans="2:83" x14ac:dyDescent="0.25">
      <c r="B159" s="300">
        <v>45261</v>
      </c>
      <c r="C159" s="203">
        <f t="shared" si="122"/>
        <v>31</v>
      </c>
      <c r="D159" s="312">
        <v>72.12</v>
      </c>
      <c r="E159" s="302">
        <v>1.34287</v>
      </c>
      <c r="F159" s="312">
        <v>-8.6999999999999993</v>
      </c>
      <c r="G159" s="312">
        <v>0.60232186539999999</v>
      </c>
      <c r="H159" s="312">
        <f t="shared" si="131"/>
        <v>63.491276423138082</v>
      </c>
      <c r="I159" s="312">
        <f t="shared" ref="I159:I183" si="147">(($D159+F159)*$E159*6.29287)+G159</f>
        <v>536.53343375159795</v>
      </c>
      <c r="J159" s="312">
        <f t="shared" si="123"/>
        <v>535.93111188619798</v>
      </c>
      <c r="K159" s="236">
        <f t="shared" si="124"/>
        <v>0.87936772046589018</v>
      </c>
      <c r="L159" s="312">
        <f t="shared" si="119"/>
        <v>4.7099999999999991</v>
      </c>
      <c r="M159" s="312">
        <v>-3.99</v>
      </c>
      <c r="N159" s="344">
        <f t="shared" si="125"/>
        <v>67.144260250462594</v>
      </c>
      <c r="O159" s="312">
        <f t="shared" ref="O159:O183" si="148">(($D159+M159)*$E159*6.29287)+X159</f>
        <v>567.40299673299694</v>
      </c>
      <c r="P159" s="345">
        <f t="shared" si="127"/>
        <v>575.73299673299698</v>
      </c>
      <c r="Q159" s="311"/>
      <c r="R159" s="314">
        <v>0</v>
      </c>
      <c r="S159" s="311"/>
      <c r="T159" s="311">
        <f t="shared" ref="T159:T183" si="149">(($D159+R159)*$E159*6.29287)+X159</f>
        <v>601.12051701722794</v>
      </c>
      <c r="U159" s="345">
        <f t="shared" si="129"/>
        <v>609.45051701722798</v>
      </c>
      <c r="V159" s="311"/>
      <c r="W159" s="314">
        <v>0</v>
      </c>
      <c r="X159" s="346">
        <v>-8.33</v>
      </c>
      <c r="Y159" s="307">
        <v>0.49</v>
      </c>
      <c r="Z159" s="347">
        <v>576.20000000000005</v>
      </c>
      <c r="AA159" s="303">
        <v>-26.64</v>
      </c>
      <c r="AB159" s="301">
        <f t="shared" si="133"/>
        <v>384.1421731326198</v>
      </c>
      <c r="AC159" s="320">
        <f t="shared" si="134"/>
        <v>45.480000000000004</v>
      </c>
      <c r="AD159" s="793">
        <v>923.1</v>
      </c>
      <c r="AE159" s="791">
        <v>381.70421743700007</v>
      </c>
      <c r="AF159" s="321">
        <v>8.98</v>
      </c>
      <c r="AG159" s="301">
        <f t="shared" si="120"/>
        <v>17.940000000000001</v>
      </c>
      <c r="AH159" s="304"/>
      <c r="AI159" s="309"/>
      <c r="AJ159" s="209">
        <f t="shared" si="118"/>
        <v>0.5466874668557743</v>
      </c>
      <c r="AK159" s="303">
        <v>39.427100109638445</v>
      </c>
      <c r="AL159" s="228">
        <f t="shared" si="121"/>
        <v>333.17895932209035</v>
      </c>
      <c r="AM159" s="209">
        <v>0.55389999999999995</v>
      </c>
      <c r="AN159" s="305"/>
      <c r="AO159" s="310"/>
      <c r="AP159" s="344">
        <v>-8.66</v>
      </c>
      <c r="AQ159" s="301">
        <f t="shared" si="117"/>
        <v>3.9999999999999147E-2</v>
      </c>
      <c r="AR159" s="311">
        <v>0</v>
      </c>
      <c r="AS159" s="311">
        <v>0</v>
      </c>
      <c r="AT159" s="312">
        <f t="shared" si="135"/>
        <v>72.11999999999999</v>
      </c>
      <c r="AU159" s="312">
        <f t="shared" si="136"/>
        <v>609.45051701722798</v>
      </c>
      <c r="AV159" s="312">
        <f t="shared" si="137"/>
        <v>609.45051701722798</v>
      </c>
      <c r="AW159" s="236"/>
      <c r="AX159" s="311">
        <v>0</v>
      </c>
      <c r="AY159" s="311">
        <v>0</v>
      </c>
      <c r="AZ159" s="312">
        <f t="shared" si="138"/>
        <v>72.11999999999999</v>
      </c>
      <c r="BA159" s="312">
        <f t="shared" si="139"/>
        <v>609.45051701722798</v>
      </c>
      <c r="BB159" s="312">
        <f t="shared" si="140"/>
        <v>609.45051701722798</v>
      </c>
      <c r="BC159" s="236"/>
      <c r="BD159" s="311">
        <v>0</v>
      </c>
      <c r="BE159" s="311">
        <v>0</v>
      </c>
      <c r="BF159" s="312">
        <f t="shared" si="141"/>
        <v>72.11999999999999</v>
      </c>
      <c r="BG159" s="312">
        <f t="shared" si="142"/>
        <v>609.45051701722798</v>
      </c>
      <c r="BH159" s="312">
        <f t="shared" si="143"/>
        <v>609.45051701722798</v>
      </c>
      <c r="BI159" s="236"/>
      <c r="BJ159" s="311">
        <v>0</v>
      </c>
      <c r="BK159" s="311">
        <v>0</v>
      </c>
      <c r="BL159" s="312">
        <f t="shared" si="144"/>
        <v>72.11999999999999</v>
      </c>
      <c r="BM159" s="312">
        <f t="shared" si="145"/>
        <v>609.45051701722798</v>
      </c>
      <c r="BN159" s="312">
        <f t="shared" si="146"/>
        <v>609.45051701722798</v>
      </c>
      <c r="BO159" s="236"/>
      <c r="BP159" s="344">
        <f t="shared" si="130"/>
        <v>-26.39</v>
      </c>
      <c r="BQ159" s="311"/>
      <c r="BR159" s="311"/>
      <c r="BS159" s="313" t="s">
        <v>114</v>
      </c>
      <c r="BT159" s="221" t="s">
        <v>114</v>
      </c>
      <c r="BU159" s="221" t="s">
        <v>114</v>
      </c>
      <c r="BV159" s="314"/>
      <c r="BW159" s="311"/>
      <c r="BX159" s="311"/>
      <c r="BY159" s="313" t="s">
        <v>114</v>
      </c>
      <c r="BZ159" s="221" t="s">
        <v>114</v>
      </c>
      <c r="CA159" s="221" t="s">
        <v>114</v>
      </c>
      <c r="CB159" s="1">
        <v>921.6</v>
      </c>
      <c r="CC159" s="10">
        <v>921.8</v>
      </c>
      <c r="CD159" s="10">
        <v>921.1</v>
      </c>
      <c r="CE159" s="10">
        <v>912.3</v>
      </c>
    </row>
    <row r="160" spans="2:83" x14ac:dyDescent="0.25">
      <c r="B160" s="322">
        <v>45292</v>
      </c>
      <c r="C160" s="348">
        <v>31</v>
      </c>
      <c r="D160" s="316">
        <v>73.86</v>
      </c>
      <c r="E160" s="324">
        <v>1.3424799999999999</v>
      </c>
      <c r="F160" s="316">
        <v>-8.3800000000000008</v>
      </c>
      <c r="G160" s="316">
        <v>0.66</v>
      </c>
      <c r="H160" s="316">
        <f t="shared" si="131"/>
        <v>65.558124518032386</v>
      </c>
      <c r="I160" s="316">
        <f t="shared" si="147"/>
        <v>553.83845266044796</v>
      </c>
      <c r="J160" s="316">
        <f t="shared" si="123"/>
        <v>553.17845266044799</v>
      </c>
      <c r="K160" s="159">
        <f t="shared" si="124"/>
        <v>0.88654210668832933</v>
      </c>
      <c r="L160" s="316">
        <f t="shared" si="119"/>
        <v>5.6000000000000014</v>
      </c>
      <c r="M160" s="316">
        <v>-2.78</v>
      </c>
      <c r="N160" s="349">
        <f t="shared" si="125"/>
        <v>70.355572650972391</v>
      </c>
      <c r="O160" s="316">
        <f t="shared" si="148"/>
        <v>594.36754451900788</v>
      </c>
      <c r="P160" s="350">
        <f t="shared" si="127"/>
        <v>600.48754451900788</v>
      </c>
      <c r="Q160" s="318"/>
      <c r="R160" s="332">
        <v>0</v>
      </c>
      <c r="S160" s="318"/>
      <c r="T160" s="318">
        <f t="shared" si="149"/>
        <v>617.85312940593587</v>
      </c>
      <c r="U160" s="350">
        <f t="shared" si="129"/>
        <v>623.97312940593588</v>
      </c>
      <c r="V160" s="318"/>
      <c r="W160" s="332">
        <v>0</v>
      </c>
      <c r="X160" s="337">
        <v>-6.12</v>
      </c>
      <c r="Y160" s="328">
        <v>0.38</v>
      </c>
      <c r="Z160" s="338">
        <v>602.94000000000005</v>
      </c>
      <c r="AA160" s="325">
        <v>-20.09</v>
      </c>
      <c r="AB160" s="323">
        <f t="shared" si="133"/>
        <v>454.03091189815069</v>
      </c>
      <c r="AC160" s="349">
        <f t="shared" si="134"/>
        <v>53.769999999999996</v>
      </c>
      <c r="AD160" s="792">
        <v>922.3</v>
      </c>
      <c r="AE160" s="789">
        <v>454.38235895199995</v>
      </c>
      <c r="AF160" s="268">
        <v>8.98</v>
      </c>
      <c r="AG160" s="323">
        <f t="shared" si="120"/>
        <v>11.709999999999999</v>
      </c>
      <c r="AH160" s="317"/>
      <c r="AI160" s="330"/>
      <c r="AJ160" s="339">
        <f t="shared" si="118"/>
        <v>0.56016986836415972</v>
      </c>
      <c r="AK160" s="332">
        <v>41.37414647737684</v>
      </c>
      <c r="AL160" s="913">
        <f t="shared" si="121"/>
        <v>349.53094576209594</v>
      </c>
      <c r="AM160" s="132">
        <v>0.5837</v>
      </c>
      <c r="AN160" s="326"/>
      <c r="AO160" s="331"/>
      <c r="AP160" s="349">
        <v>-8.11</v>
      </c>
      <c r="AQ160" s="316">
        <f t="shared" si="117"/>
        <v>0.27000000000000135</v>
      </c>
      <c r="AR160" s="316">
        <v>-16</v>
      </c>
      <c r="AS160" s="316">
        <v>20.86</v>
      </c>
      <c r="AT160" s="316">
        <f t="shared" si="135"/>
        <v>60.329208251750948</v>
      </c>
      <c r="AU160" s="316">
        <f t="shared" si="136"/>
        <v>509.66429552433596</v>
      </c>
      <c r="AV160" s="316">
        <f t="shared" si="137"/>
        <v>488.80429552433594</v>
      </c>
      <c r="AW160" s="159"/>
      <c r="AX160" s="316">
        <v>-10.89</v>
      </c>
      <c r="AY160" s="316">
        <v>14.6</v>
      </c>
      <c r="AZ160" s="316">
        <f t="shared" si="138"/>
        <v>64.698209035261939</v>
      </c>
      <c r="BA160" s="316">
        <f t="shared" si="139"/>
        <v>546.573841845272</v>
      </c>
      <c r="BB160" s="316">
        <f t="shared" si="140"/>
        <v>531.97384184527198</v>
      </c>
      <c r="BC160" s="159"/>
      <c r="BD160" s="318">
        <v>0</v>
      </c>
      <c r="BE160" s="318">
        <v>0</v>
      </c>
      <c r="BF160" s="316">
        <f t="shared" si="141"/>
        <v>73.86</v>
      </c>
      <c r="BG160" s="316">
        <f t="shared" si="142"/>
        <v>623.97312940593599</v>
      </c>
      <c r="BH160" s="316">
        <f t="shared" si="143"/>
        <v>623.97312940593599</v>
      </c>
      <c r="BI160" s="159"/>
      <c r="BJ160" s="318">
        <v>0</v>
      </c>
      <c r="BK160" s="318">
        <v>0</v>
      </c>
      <c r="BL160" s="316">
        <f t="shared" si="144"/>
        <v>73.86</v>
      </c>
      <c r="BM160" s="316">
        <f t="shared" si="145"/>
        <v>623.97312940593599</v>
      </c>
      <c r="BN160" s="316">
        <f t="shared" si="146"/>
        <v>623.97312940593599</v>
      </c>
      <c r="BO160" s="159"/>
      <c r="BP160" s="349">
        <v>-20.72</v>
      </c>
      <c r="BQ160" s="318"/>
      <c r="BR160" s="318"/>
      <c r="BS160" s="267" t="s">
        <v>114</v>
      </c>
      <c r="BT160" s="145" t="s">
        <v>114</v>
      </c>
      <c r="BU160" s="145" t="s">
        <v>114</v>
      </c>
      <c r="BV160" s="332">
        <v>-19.829999999999998</v>
      </c>
      <c r="BW160" s="318"/>
      <c r="BX160" s="318"/>
      <c r="BY160" s="267">
        <v>-19.579999999999998</v>
      </c>
      <c r="BZ160" s="145" t="s">
        <v>114</v>
      </c>
      <c r="CA160" s="145" t="s">
        <v>114</v>
      </c>
      <c r="CB160" s="1">
        <v>920.6</v>
      </c>
      <c r="CC160" s="10">
        <v>921.2</v>
      </c>
      <c r="CD160" s="10">
        <v>921.3</v>
      </c>
      <c r="CE160" s="10">
        <v>912.9</v>
      </c>
    </row>
    <row r="161" spans="2:83" x14ac:dyDescent="0.25">
      <c r="B161" s="287">
        <v>45323</v>
      </c>
      <c r="C161" s="351">
        <v>29</v>
      </c>
      <c r="D161" s="278">
        <v>76.61</v>
      </c>
      <c r="E161" s="289">
        <v>1.35019</v>
      </c>
      <c r="F161" s="278">
        <v>-9.3239109606637367</v>
      </c>
      <c r="G161" s="278">
        <v>0.51775312409999996</v>
      </c>
      <c r="H161" s="278">
        <f t="shared" si="131"/>
        <v>67.347025760300824</v>
      </c>
      <c r="I161" s="278">
        <f t="shared" si="147"/>
        <v>572.21872844972199</v>
      </c>
      <c r="J161" s="278">
        <f t="shared" si="123"/>
        <v>571.70097532562204</v>
      </c>
      <c r="K161" s="198">
        <f t="shared" si="124"/>
        <v>0.87829381333163115</v>
      </c>
      <c r="L161" s="278">
        <f t="shared" si="119"/>
        <v>4.6339109606637363</v>
      </c>
      <c r="M161" s="278">
        <v>-4.6900000000000004</v>
      </c>
      <c r="N161" s="342">
        <f t="shared" si="125"/>
        <v>71.343296704881496</v>
      </c>
      <c r="O161" s="278">
        <f t="shared" si="148"/>
        <v>606.17332484997598</v>
      </c>
      <c r="P161" s="343">
        <f t="shared" si="127"/>
        <v>611.07332484997596</v>
      </c>
      <c r="Q161" s="284"/>
      <c r="R161" s="299">
        <v>0</v>
      </c>
      <c r="S161" s="284"/>
      <c r="T161" s="284">
        <f t="shared" si="149"/>
        <v>646.02223883143301</v>
      </c>
      <c r="U161" s="343">
        <f t="shared" si="129"/>
        <v>650.92223883143299</v>
      </c>
      <c r="V161" s="284"/>
      <c r="W161" s="299">
        <v>0</v>
      </c>
      <c r="X161" s="340">
        <v>-4.9000000000000004</v>
      </c>
      <c r="Y161" s="333">
        <v>0.31</v>
      </c>
      <c r="Z161" s="341">
        <v>614.05999999999995</v>
      </c>
      <c r="AA161" s="290">
        <v>-18.760000000000002</v>
      </c>
      <c r="AB161" s="288">
        <f t="shared" si="133"/>
        <v>491.28760997586062</v>
      </c>
      <c r="AC161" s="277">
        <f t="shared" si="134"/>
        <v>57.849999999999994</v>
      </c>
      <c r="AD161" s="793">
        <v>922.1</v>
      </c>
      <c r="AE161" s="790">
        <v>491.30241153499998</v>
      </c>
      <c r="AF161" s="279">
        <v>8.98</v>
      </c>
      <c r="AG161" s="288">
        <f t="shared" si="120"/>
        <v>9.4360890393362649</v>
      </c>
      <c r="AH161" s="291"/>
      <c r="AI161" s="297"/>
      <c r="AJ161" s="354">
        <f t="shared" si="118"/>
        <v>0.5509701780171069</v>
      </c>
      <c r="AK161" s="299">
        <v>42.209825337890557</v>
      </c>
      <c r="AL161" s="360">
        <f t="shared" si="121"/>
        <v>358.63874180424841</v>
      </c>
      <c r="AM161" s="171">
        <v>0.56069999999999998</v>
      </c>
      <c r="AN161" s="292"/>
      <c r="AO161" s="298"/>
      <c r="AP161" s="342">
        <v>-8.9499999999999993</v>
      </c>
      <c r="AQ161" s="278">
        <f t="shared" si="117"/>
        <v>0.37391096066373741</v>
      </c>
      <c r="AR161" s="278">
        <v>-14.748451357561152</v>
      </c>
      <c r="AS161" s="278">
        <v>23.09</v>
      </c>
      <c r="AT161" s="278">
        <f t="shared" si="135"/>
        <v>64.579115802497256</v>
      </c>
      <c r="AU161" s="278">
        <f t="shared" si="136"/>
        <v>548.70098733736961</v>
      </c>
      <c r="AV161" s="278">
        <f t="shared" si="137"/>
        <v>525.61098733736958</v>
      </c>
      <c r="AW161" s="198"/>
      <c r="AX161" s="278">
        <v>-10.493711025943396</v>
      </c>
      <c r="AY161" s="278">
        <v>13.8270516165</v>
      </c>
      <c r="AZ161" s="278">
        <f t="shared" si="138"/>
        <v>67.743657592221737</v>
      </c>
      <c r="BA161" s="278">
        <f t="shared" si="139"/>
        <v>575.58873863149688</v>
      </c>
      <c r="BB161" s="278">
        <f t="shared" si="140"/>
        <v>561.76168701499682</v>
      </c>
      <c r="BC161" s="198"/>
      <c r="BD161" s="284">
        <v>0</v>
      </c>
      <c r="BE161" s="284">
        <v>0</v>
      </c>
      <c r="BF161" s="278">
        <f t="shared" si="141"/>
        <v>76.61</v>
      </c>
      <c r="BG161" s="278">
        <f t="shared" si="142"/>
        <v>650.92223883143299</v>
      </c>
      <c r="BH161" s="278">
        <f t="shared" si="143"/>
        <v>650.92223883143299</v>
      </c>
      <c r="BI161" s="198"/>
      <c r="BJ161" s="284">
        <v>0</v>
      </c>
      <c r="BK161" s="284">
        <v>0</v>
      </c>
      <c r="BL161" s="278">
        <f t="shared" si="144"/>
        <v>76.61</v>
      </c>
      <c r="BM161" s="278">
        <f t="shared" si="145"/>
        <v>650.92223883143299</v>
      </c>
      <c r="BN161" s="278">
        <f t="shared" si="146"/>
        <v>650.92223883143299</v>
      </c>
      <c r="BO161" s="198"/>
      <c r="BP161" s="342">
        <f t="shared" ref="BP161:BP162" si="150">AA161+0.25</f>
        <v>-18.510000000000002</v>
      </c>
      <c r="BQ161" s="284"/>
      <c r="BR161" s="284"/>
      <c r="BS161" s="285" t="s">
        <v>114</v>
      </c>
      <c r="BT161" s="183" t="s">
        <v>114</v>
      </c>
      <c r="BU161" s="183" t="s">
        <v>114</v>
      </c>
      <c r="BV161" s="299">
        <v>-18.46</v>
      </c>
      <c r="BW161" s="284"/>
      <c r="BX161" s="284"/>
      <c r="BY161" s="285">
        <v>-18.21</v>
      </c>
      <c r="BZ161" s="183" t="s">
        <v>114</v>
      </c>
      <c r="CA161" s="183" t="s">
        <v>114</v>
      </c>
      <c r="CB161" s="1">
        <v>921.7</v>
      </c>
      <c r="CC161" s="10">
        <v>921.2</v>
      </c>
      <c r="CD161" s="10">
        <v>920.9</v>
      </c>
      <c r="CE161" s="10">
        <v>915.3</v>
      </c>
    </row>
    <row r="162" spans="2:83" x14ac:dyDescent="0.25">
      <c r="B162" s="287">
        <v>45352</v>
      </c>
      <c r="C162" s="351">
        <v>31</v>
      </c>
      <c r="D162" s="278">
        <v>80.41</v>
      </c>
      <c r="E162" s="289">
        <v>1.35375</v>
      </c>
      <c r="F162" s="278">
        <v>-8.2594179762808899</v>
      </c>
      <c r="G162" s="278">
        <v>0.13</v>
      </c>
      <c r="H162" s="278">
        <f t="shared" si="131"/>
        <v>72.165842079552633</v>
      </c>
      <c r="I162" s="278">
        <f t="shared" si="147"/>
        <v>614.77884305858515</v>
      </c>
      <c r="J162" s="278">
        <f t="shared" si="123"/>
        <v>614.64884305858516</v>
      </c>
      <c r="K162" s="198">
        <f t="shared" si="124"/>
        <v>0.89728369635268146</v>
      </c>
      <c r="L162" s="278">
        <f t="shared" si="119"/>
        <v>3.1694179762808901</v>
      </c>
      <c r="M162" s="278">
        <v>-5.09</v>
      </c>
      <c r="N162" s="342">
        <f t="shared" si="125"/>
        <v>74.807027353903919</v>
      </c>
      <c r="O162" s="278">
        <f t="shared" si="148"/>
        <v>637.27902847149983</v>
      </c>
      <c r="P162" s="343">
        <f t="shared" si="127"/>
        <v>641.64902847149983</v>
      </c>
      <c r="Q162" s="284"/>
      <c r="R162" s="299">
        <v>0</v>
      </c>
      <c r="S162" s="284"/>
      <c r="T162" s="284">
        <f t="shared" si="149"/>
        <v>680.64059983262496</v>
      </c>
      <c r="U162" s="343">
        <f t="shared" si="129"/>
        <v>685.01059983262496</v>
      </c>
      <c r="V162" s="284"/>
      <c r="W162" s="299">
        <v>0</v>
      </c>
      <c r="X162" s="340">
        <v>-4.37</v>
      </c>
      <c r="Y162" s="333">
        <v>0.31</v>
      </c>
      <c r="Z162" s="341">
        <v>642.78</v>
      </c>
      <c r="AA162" s="290">
        <v>-19.13</v>
      </c>
      <c r="AB162" s="288">
        <f t="shared" si="133"/>
        <v>521.78884149689998</v>
      </c>
      <c r="AC162" s="277">
        <f t="shared" si="134"/>
        <v>61.28</v>
      </c>
      <c r="AD162" s="793">
        <v>924.4</v>
      </c>
      <c r="AE162" s="790">
        <v>521.80456200000003</v>
      </c>
      <c r="AF162" s="279">
        <v>8.98</v>
      </c>
      <c r="AG162" s="288">
        <f t="shared" si="120"/>
        <v>10.870582023719109</v>
      </c>
      <c r="AH162" s="291"/>
      <c r="AI162" s="297"/>
      <c r="AJ162" s="354">
        <f>AM162-0.01675</f>
        <v>0.50154999999999994</v>
      </c>
      <c r="AK162" s="352">
        <f>AJ162*D162</f>
        <v>40.329635499999995</v>
      </c>
      <c r="AL162" s="360">
        <f t="shared" si="121"/>
        <v>343.56706634605302</v>
      </c>
      <c r="AM162" s="171">
        <v>0.51829999999999998</v>
      </c>
      <c r="AN162" s="292"/>
      <c r="AO162" s="298"/>
      <c r="AP162" s="342">
        <v>-8.02</v>
      </c>
      <c r="AQ162" s="278">
        <f t="shared" si="117"/>
        <v>0.23941797628089034</v>
      </c>
      <c r="AR162" s="278">
        <v>-12.999576536312849</v>
      </c>
      <c r="AS162" s="278">
        <v>21.43</v>
      </c>
      <c r="AT162" s="278">
        <f t="shared" si="135"/>
        <v>69.925984975320759</v>
      </c>
      <c r="AU162" s="278">
        <f t="shared" si="136"/>
        <v>595.69756139574167</v>
      </c>
      <c r="AV162" s="278">
        <f t="shared" si="137"/>
        <v>574.26756139574172</v>
      </c>
      <c r="AW162" s="198"/>
      <c r="AX162" s="278">
        <v>-10.269815110457509</v>
      </c>
      <c r="AY162" s="278">
        <v>15.15</v>
      </c>
      <c r="AZ162" s="278">
        <f t="shared" si="138"/>
        <v>71.918568319372127</v>
      </c>
      <c r="BA162" s="278">
        <f t="shared" si="139"/>
        <v>612.67232463072651</v>
      </c>
      <c r="BB162" s="278">
        <f t="shared" si="140"/>
        <v>597.52232463072653</v>
      </c>
      <c r="BC162" s="198"/>
      <c r="BD162" s="284">
        <v>0</v>
      </c>
      <c r="BE162" s="284">
        <v>0</v>
      </c>
      <c r="BF162" s="278">
        <f t="shared" si="141"/>
        <v>80.410000000000011</v>
      </c>
      <c r="BG162" s="278">
        <f t="shared" si="142"/>
        <v>685.01059983262496</v>
      </c>
      <c r="BH162" s="278">
        <f t="shared" si="143"/>
        <v>685.01059983262496</v>
      </c>
      <c r="BI162" s="198"/>
      <c r="BJ162" s="284">
        <v>0</v>
      </c>
      <c r="BK162" s="284">
        <v>0</v>
      </c>
      <c r="BL162" s="278">
        <f t="shared" si="144"/>
        <v>80.410000000000011</v>
      </c>
      <c r="BM162" s="278">
        <f t="shared" si="145"/>
        <v>685.01059983262496</v>
      </c>
      <c r="BN162" s="278">
        <f t="shared" si="146"/>
        <v>685.01059983262496</v>
      </c>
      <c r="BO162" s="198"/>
      <c r="BP162" s="342">
        <f t="shared" si="150"/>
        <v>-18.88</v>
      </c>
      <c r="BQ162" s="284"/>
      <c r="BR162" s="284"/>
      <c r="BS162" s="285" t="s">
        <v>114</v>
      </c>
      <c r="BT162" s="183" t="s">
        <v>114</v>
      </c>
      <c r="BU162" s="183" t="s">
        <v>114</v>
      </c>
      <c r="BV162" s="299">
        <v>-18.86</v>
      </c>
      <c r="BW162" s="284"/>
      <c r="BX162" s="284"/>
      <c r="BY162" s="285">
        <v>-18.61</v>
      </c>
      <c r="BZ162" s="183" t="s">
        <v>114</v>
      </c>
      <c r="CA162" s="183" t="s">
        <v>114</v>
      </c>
      <c r="CB162" s="1">
        <v>918.4</v>
      </c>
      <c r="CC162" s="10">
        <v>918.1</v>
      </c>
      <c r="CD162" s="10">
        <v>923</v>
      </c>
      <c r="CE162" s="10">
        <v>915.8</v>
      </c>
    </row>
    <row r="163" spans="2:83" x14ac:dyDescent="0.25">
      <c r="B163" s="287">
        <v>45383</v>
      </c>
      <c r="C163" s="351">
        <v>30</v>
      </c>
      <c r="D163" s="278">
        <v>84.39</v>
      </c>
      <c r="E163" s="289">
        <v>1.36754</v>
      </c>
      <c r="F163" s="278">
        <v>-4.17</v>
      </c>
      <c r="G163" s="278">
        <v>0.05</v>
      </c>
      <c r="H163" s="278">
        <f t="shared" si="131"/>
        <v>80.225810067877262</v>
      </c>
      <c r="I163" s="278">
        <f t="shared" si="147"/>
        <v>690.40338050075593</v>
      </c>
      <c r="J163" s="278">
        <f t="shared" si="123"/>
        <v>690.35338050075597</v>
      </c>
      <c r="K163" s="198">
        <f t="shared" si="124"/>
        <v>0.9505865623889086</v>
      </c>
      <c r="L163" s="278">
        <f t="shared" si="119"/>
        <v>1.7399999999999998</v>
      </c>
      <c r="M163" s="278">
        <v>-2.4300000000000002</v>
      </c>
      <c r="N163" s="342">
        <f t="shared" si="125"/>
        <v>81.342970791435818</v>
      </c>
      <c r="O163" s="278">
        <f t="shared" si="148"/>
        <v>700.01738800600799</v>
      </c>
      <c r="P163" s="343">
        <f t="shared" si="127"/>
        <v>705.32738800600794</v>
      </c>
      <c r="Q163" s="750">
        <f t="shared" ref="Q163:Q174" si="151">(D163+M163)/D163</f>
        <v>0.97120511908993945</v>
      </c>
      <c r="R163" s="299">
        <v>0</v>
      </c>
      <c r="S163" s="284"/>
      <c r="T163" s="284">
        <f t="shared" si="149"/>
        <v>720.92936400472195</v>
      </c>
      <c r="U163" s="343">
        <f t="shared" si="129"/>
        <v>726.23936400472189</v>
      </c>
      <c r="V163" s="284"/>
      <c r="W163" s="299">
        <v>0</v>
      </c>
      <c r="X163" s="340">
        <v>-5.31</v>
      </c>
      <c r="Y163" s="333">
        <v>0.28999999999999998</v>
      </c>
      <c r="Z163" s="341">
        <v>701.26</v>
      </c>
      <c r="AA163" s="290">
        <v>-15.76</v>
      </c>
      <c r="AB163" s="288">
        <f t="shared" si="133"/>
        <v>590.32557417379701</v>
      </c>
      <c r="AC163" s="277">
        <f t="shared" si="134"/>
        <v>68.63</v>
      </c>
      <c r="AD163" s="793">
        <v>921.1</v>
      </c>
      <c r="AE163" s="790">
        <v>590.34335955799997</v>
      </c>
      <c r="AF163" s="279">
        <v>8.98</v>
      </c>
      <c r="AG163" s="288">
        <f t="shared" si="120"/>
        <v>11.59</v>
      </c>
      <c r="AH163" s="291"/>
      <c r="AI163" s="297"/>
      <c r="AJ163" s="354">
        <f t="shared" ref="AJ163:AJ171" si="152">AM163-0.01675</f>
        <v>0.47575000000000001</v>
      </c>
      <c r="AK163" s="352">
        <f t="shared" ref="AK163:AK171" si="153">AJ163*D163</f>
        <v>40.148542499999998</v>
      </c>
      <c r="AL163" s="360">
        <f t="shared" si="121"/>
        <v>345.50837742524647</v>
      </c>
      <c r="AM163" s="171">
        <v>0.49249999999999999</v>
      </c>
      <c r="AN163" s="292"/>
      <c r="AO163" s="298"/>
      <c r="AP163" s="342">
        <v>-3.29</v>
      </c>
      <c r="AQ163" s="278">
        <f t="shared" si="117"/>
        <v>0.87999999999999989</v>
      </c>
      <c r="AR163" s="278">
        <v>-5.98</v>
      </c>
      <c r="AS163" s="278">
        <v>21.94</v>
      </c>
      <c r="AT163" s="278">
        <f t="shared" si="135"/>
        <v>80.959457784538344</v>
      </c>
      <c r="AU163" s="278">
        <f t="shared" si="136"/>
        <v>696.71697039471803</v>
      </c>
      <c r="AV163" s="278">
        <f t="shared" si="137"/>
        <v>674.77697039471798</v>
      </c>
      <c r="AW163" s="198"/>
      <c r="AX163" s="278">
        <v>-6.0593000000000004</v>
      </c>
      <c r="AY163" s="278">
        <v>12.88</v>
      </c>
      <c r="AZ163" s="278">
        <f t="shared" si="138"/>
        <v>79.827373485180232</v>
      </c>
      <c r="BA163" s="278">
        <f t="shared" si="139"/>
        <v>686.97453430554197</v>
      </c>
      <c r="BB163" s="278">
        <f t="shared" si="140"/>
        <v>674.09453430554197</v>
      </c>
      <c r="BC163" s="198"/>
      <c r="BD163" s="284">
        <v>0</v>
      </c>
      <c r="BE163" s="284">
        <v>0</v>
      </c>
      <c r="BF163" s="278">
        <f t="shared" si="141"/>
        <v>84.390000000000015</v>
      </c>
      <c r="BG163" s="278">
        <f t="shared" si="142"/>
        <v>726.23936400472201</v>
      </c>
      <c r="BH163" s="278">
        <f t="shared" si="143"/>
        <v>726.23936400472201</v>
      </c>
      <c r="BI163" s="198"/>
      <c r="BJ163" s="284">
        <v>0</v>
      </c>
      <c r="BK163" s="284">
        <v>0</v>
      </c>
      <c r="BL163" s="278">
        <f t="shared" si="144"/>
        <v>84.390000000000015</v>
      </c>
      <c r="BM163" s="278">
        <f t="shared" si="145"/>
        <v>726.23936400472201</v>
      </c>
      <c r="BN163" s="278">
        <f t="shared" si="146"/>
        <v>726.23936400472201</v>
      </c>
      <c r="BO163" s="198"/>
      <c r="BP163" s="342">
        <f>AA163+0.25</f>
        <v>-15.51</v>
      </c>
      <c r="BQ163" s="284"/>
      <c r="BR163" s="284"/>
      <c r="BS163" s="285" t="s">
        <v>114</v>
      </c>
      <c r="BT163" s="183" t="s">
        <v>114</v>
      </c>
      <c r="BU163" s="183" t="s">
        <v>114</v>
      </c>
      <c r="BV163" s="299">
        <v>-15.48</v>
      </c>
      <c r="BW163" s="284"/>
      <c r="BX163" s="284"/>
      <c r="BY163" s="285">
        <v>-15.23</v>
      </c>
      <c r="BZ163" s="183" t="s">
        <v>114</v>
      </c>
      <c r="CA163" s="183" t="s">
        <v>114</v>
      </c>
      <c r="CB163" s="1">
        <v>921.6</v>
      </c>
      <c r="CC163" s="10">
        <v>921.5</v>
      </c>
      <c r="CD163" s="10">
        <v>923.1</v>
      </c>
      <c r="CE163" s="10">
        <v>914.8</v>
      </c>
    </row>
    <row r="164" spans="2:83" x14ac:dyDescent="0.25">
      <c r="B164" s="287">
        <v>45413</v>
      </c>
      <c r="C164" s="351">
        <v>31</v>
      </c>
      <c r="D164" s="278">
        <v>78.62</v>
      </c>
      <c r="E164" s="289">
        <v>1.3669500000000001</v>
      </c>
      <c r="F164" s="278">
        <v>-3.78</v>
      </c>
      <c r="G164" s="278">
        <v>1.4999999999999999E-2</v>
      </c>
      <c r="H164" s="278">
        <f t="shared" si="131"/>
        <v>74.841743772681852</v>
      </c>
      <c r="I164" s="278">
        <f t="shared" si="147"/>
        <v>643.79157230406008</v>
      </c>
      <c r="J164" s="278">
        <f t="shared" si="123"/>
        <v>643.7765723040601</v>
      </c>
      <c r="K164" s="198">
        <f t="shared" si="124"/>
        <v>0.95192063088272705</v>
      </c>
      <c r="L164" s="278">
        <f t="shared" si="119"/>
        <v>-0.41000000000000059</v>
      </c>
      <c r="M164" s="278">
        <v>-4.1900000000000004</v>
      </c>
      <c r="N164" s="342">
        <f t="shared" si="125"/>
        <v>73.933606043232871</v>
      </c>
      <c r="O164" s="278">
        <f t="shared" si="148"/>
        <v>635.97973645899515</v>
      </c>
      <c r="P164" s="343">
        <f t="shared" si="127"/>
        <v>640.24973645899513</v>
      </c>
      <c r="Q164" s="750">
        <f t="shared" si="151"/>
        <v>0.94670567285677942</v>
      </c>
      <c r="R164" s="299">
        <v>0</v>
      </c>
      <c r="S164" s="284"/>
      <c r="T164" s="284">
        <f t="shared" si="149"/>
        <v>672.02227838783017</v>
      </c>
      <c r="U164" s="343">
        <f t="shared" si="129"/>
        <v>676.29227838783015</v>
      </c>
      <c r="V164" s="284"/>
      <c r="W164" s="299">
        <v>0</v>
      </c>
      <c r="X164" s="340">
        <v>-4.2699999999999996</v>
      </c>
      <c r="Y164" s="333">
        <v>0.17</v>
      </c>
      <c r="Z164" s="341">
        <v>636.91</v>
      </c>
      <c r="AA164" s="290">
        <v>-13.07</v>
      </c>
      <c r="AB164" s="288">
        <f t="shared" si="133"/>
        <v>563.58949114801135</v>
      </c>
      <c r="AC164" s="277">
        <f t="shared" si="134"/>
        <v>65.550000000000011</v>
      </c>
      <c r="AD164" s="793">
        <v>924.8</v>
      </c>
      <c r="AE164" s="790"/>
      <c r="AF164" s="278"/>
      <c r="AG164" s="288">
        <f t="shared" si="120"/>
        <v>9.2900000000000009</v>
      </c>
      <c r="AH164" s="291"/>
      <c r="AI164" s="297"/>
      <c r="AJ164" s="354">
        <f t="shared" si="152"/>
        <v>0.45824999999999999</v>
      </c>
      <c r="AK164" s="352">
        <f t="shared" si="153"/>
        <v>36.027615000000004</v>
      </c>
      <c r="AL164" s="360">
        <f t="shared" si="121"/>
        <v>309.91093657122315</v>
      </c>
      <c r="AM164" s="171">
        <v>0.47499999999999998</v>
      </c>
      <c r="AN164" s="292"/>
      <c r="AO164" s="298"/>
      <c r="AP164" s="342">
        <v>-3.67</v>
      </c>
      <c r="AQ164" s="278">
        <f t="shared" ref="AQ164:AQ178" si="154">AP164-F164</f>
        <v>0.10999999999999988</v>
      </c>
      <c r="AR164" s="278">
        <v>-6.43</v>
      </c>
      <c r="AS164" s="278">
        <v>20.93</v>
      </c>
      <c r="AT164" s="278">
        <f t="shared" si="135"/>
        <v>74.623144148743847</v>
      </c>
      <c r="AU164" s="278">
        <f t="shared" si="136"/>
        <v>641.91116989083491</v>
      </c>
      <c r="AV164" s="278">
        <f t="shared" si="137"/>
        <v>620.98116989083496</v>
      </c>
      <c r="AW164" s="198"/>
      <c r="AX164" s="278">
        <v>-3.71</v>
      </c>
      <c r="AY164" s="278">
        <v>12.15</v>
      </c>
      <c r="AZ164" s="278">
        <f t="shared" si="138"/>
        <v>76.322455872299955</v>
      </c>
      <c r="BA164" s="278">
        <f t="shared" si="139"/>
        <v>656.52871500931508</v>
      </c>
      <c r="BB164" s="278">
        <f t="shared" si="140"/>
        <v>644.3787150093151</v>
      </c>
      <c r="BC164" s="198"/>
      <c r="BD164" s="284">
        <v>0</v>
      </c>
      <c r="BE164" s="284">
        <v>0</v>
      </c>
      <c r="BF164" s="278">
        <f t="shared" si="141"/>
        <v>78.62</v>
      </c>
      <c r="BG164" s="278">
        <f t="shared" si="142"/>
        <v>676.29227838783004</v>
      </c>
      <c r="BH164" s="278">
        <f t="shared" si="143"/>
        <v>676.29227838783004</v>
      </c>
      <c r="BI164" s="198"/>
      <c r="BJ164" s="284">
        <v>0</v>
      </c>
      <c r="BK164" s="284">
        <v>0</v>
      </c>
      <c r="BL164" s="278">
        <f t="shared" si="144"/>
        <v>78.62</v>
      </c>
      <c r="BM164" s="278">
        <f t="shared" si="145"/>
        <v>676.29227838783004</v>
      </c>
      <c r="BN164" s="278">
        <f t="shared" si="146"/>
        <v>676.29227838783004</v>
      </c>
      <c r="BO164" s="198"/>
      <c r="BP164" s="299">
        <f>AA164+0.25</f>
        <v>-12.82</v>
      </c>
      <c r="BQ164" s="284"/>
      <c r="BR164" s="284"/>
      <c r="BS164" s="299"/>
      <c r="BT164" s="284"/>
      <c r="BU164" s="284"/>
      <c r="BV164" s="299"/>
      <c r="BW164" s="284"/>
      <c r="BX164" s="284"/>
      <c r="BY164" s="299"/>
      <c r="BZ164" s="284"/>
      <c r="CA164" s="284"/>
      <c r="CB164" s="1">
        <v>924.2</v>
      </c>
      <c r="CC164" s="10">
        <v>924.4</v>
      </c>
      <c r="CD164" s="10">
        <v>926.2</v>
      </c>
      <c r="CE164" s="10">
        <v>916.4</v>
      </c>
    </row>
    <row r="165" spans="2:83" x14ac:dyDescent="0.25">
      <c r="B165" s="287">
        <v>45444</v>
      </c>
      <c r="C165" s="351">
        <v>30</v>
      </c>
      <c r="D165" s="278">
        <v>78.7</v>
      </c>
      <c r="E165" s="289">
        <v>1.3707400000000001</v>
      </c>
      <c r="F165" s="278">
        <v>-2.94</v>
      </c>
      <c r="G165" s="278">
        <v>0.56000000000000005</v>
      </c>
      <c r="H165" s="278">
        <f t="shared" si="131"/>
        <v>75.824920847511862</v>
      </c>
      <c r="I165" s="278">
        <f t="shared" si="147"/>
        <v>654.057322139088</v>
      </c>
      <c r="J165" s="278">
        <f t="shared" si="123"/>
        <v>653.49732213908806</v>
      </c>
      <c r="K165" s="198">
        <f t="shared" si="124"/>
        <v>0.96264294790343075</v>
      </c>
      <c r="L165" s="278">
        <f t="shared" si="119"/>
        <v>-0.7200000000000002</v>
      </c>
      <c r="M165" s="278">
        <v>-3.66</v>
      </c>
      <c r="N165" s="342">
        <f t="shared" si="125"/>
        <v>74.602943580143389</v>
      </c>
      <c r="O165" s="278">
        <f t="shared" si="148"/>
        <v>643.51668232995212</v>
      </c>
      <c r="P165" s="343">
        <f t="shared" si="127"/>
        <v>647.2866823299521</v>
      </c>
      <c r="Q165" s="750">
        <f t="shared" si="151"/>
        <v>0.95349428208386278</v>
      </c>
      <c r="R165" s="299">
        <v>0</v>
      </c>
      <c r="S165" s="284"/>
      <c r="T165" s="284">
        <f t="shared" si="149"/>
        <v>675.08743469306</v>
      </c>
      <c r="U165" s="343">
        <f t="shared" si="129"/>
        <v>678.85743469305999</v>
      </c>
      <c r="V165" s="284"/>
      <c r="W165" s="299">
        <v>0</v>
      </c>
      <c r="X165" s="340">
        <v>-3.77</v>
      </c>
      <c r="Y165" s="333">
        <v>0.16</v>
      </c>
      <c r="Z165" s="341">
        <v>647.46</v>
      </c>
      <c r="AA165" s="290">
        <v>-11.99</v>
      </c>
      <c r="AB165" s="288">
        <f t="shared" si="133"/>
        <v>575.15326309460681</v>
      </c>
      <c r="AC165" s="277">
        <f>D165+AA165</f>
        <v>66.710000000000008</v>
      </c>
      <c r="AD165" s="793">
        <v>928.6</v>
      </c>
      <c r="AE165" s="790"/>
      <c r="AF165" s="278"/>
      <c r="AG165" s="288">
        <f t="shared" si="120"/>
        <v>9.0500000000000007</v>
      </c>
      <c r="AH165" s="291"/>
      <c r="AI165" s="297"/>
      <c r="AJ165" s="354">
        <f t="shared" si="152"/>
        <v>0.47325</v>
      </c>
      <c r="AK165" s="352">
        <f t="shared" si="153"/>
        <v>37.244775000000004</v>
      </c>
      <c r="AL165" s="360">
        <f>(AJ165*D165)*6.29287*E165</f>
        <v>321.2692809684907</v>
      </c>
      <c r="AM165" s="354">
        <v>0.49</v>
      </c>
      <c r="AN165" s="292"/>
      <c r="AO165" s="298"/>
      <c r="AP165" s="342">
        <v>-2.9</v>
      </c>
      <c r="AQ165" s="278">
        <f t="shared" si="154"/>
        <v>4.0000000000000036E-2</v>
      </c>
      <c r="AR165" s="278">
        <v>-5.16</v>
      </c>
      <c r="AS165" s="278">
        <v>14.52</v>
      </c>
      <c r="AT165" s="278">
        <f t="shared" si="135"/>
        <v>75.223304831914646</v>
      </c>
      <c r="AU165" s="278">
        <f t="shared" si="136"/>
        <v>648.86784939425206</v>
      </c>
      <c r="AV165" s="278">
        <f t="shared" si="137"/>
        <v>634.34784939425208</v>
      </c>
      <c r="AW165" s="198"/>
      <c r="AX165" s="278">
        <v>-3.32</v>
      </c>
      <c r="AY165" s="278">
        <v>13.25</v>
      </c>
      <c r="AZ165" s="278">
        <f t="shared" si="138"/>
        <v>76.91607362416454</v>
      </c>
      <c r="BA165" s="278">
        <f t="shared" si="139"/>
        <v>663.46948446204408</v>
      </c>
      <c r="BB165" s="278">
        <f t="shared" si="140"/>
        <v>650.21948446204408</v>
      </c>
      <c r="BC165" s="198"/>
      <c r="BD165" s="284">
        <v>0</v>
      </c>
      <c r="BE165" s="284">
        <v>0</v>
      </c>
      <c r="BF165" s="278">
        <f t="shared" si="141"/>
        <v>78.700000000000017</v>
      </c>
      <c r="BG165" s="278">
        <f t="shared" si="142"/>
        <v>678.8574346930601</v>
      </c>
      <c r="BH165" s="278">
        <f t="shared" si="143"/>
        <v>678.8574346930601</v>
      </c>
      <c r="BI165" s="198"/>
      <c r="BJ165" s="284">
        <v>0</v>
      </c>
      <c r="BK165" s="284">
        <v>0</v>
      </c>
      <c r="BL165" s="278">
        <f t="shared" si="144"/>
        <v>78.700000000000017</v>
      </c>
      <c r="BM165" s="278">
        <f t="shared" si="145"/>
        <v>678.8574346930601</v>
      </c>
      <c r="BN165" s="278">
        <f t="shared" si="146"/>
        <v>678.8574346930601</v>
      </c>
      <c r="BO165" s="198"/>
      <c r="BP165" s="342">
        <f>AA165-0.39</f>
        <v>-12.38</v>
      </c>
      <c r="BQ165" s="284"/>
      <c r="BR165" s="284"/>
      <c r="BS165" s="299"/>
      <c r="BT165" s="284"/>
      <c r="BU165" s="284"/>
      <c r="BV165" s="299"/>
      <c r="BW165" s="284"/>
      <c r="BX165" s="284"/>
      <c r="BY165" s="299"/>
      <c r="BZ165" s="284"/>
      <c r="CA165" s="284"/>
      <c r="CB165" s="1">
        <v>930.1</v>
      </c>
      <c r="CC165" s="10">
        <v>931</v>
      </c>
      <c r="CD165" s="10">
        <v>930.6</v>
      </c>
      <c r="CE165" s="10">
        <v>919.7</v>
      </c>
    </row>
    <row r="166" spans="2:83" x14ac:dyDescent="0.25">
      <c r="B166" s="287">
        <v>45474</v>
      </c>
      <c r="C166" s="351">
        <v>31</v>
      </c>
      <c r="D166" s="278">
        <v>80.48</v>
      </c>
      <c r="E166" s="289">
        <v>1.3709899999999999</v>
      </c>
      <c r="F166" s="278">
        <v>-3.62</v>
      </c>
      <c r="G166" s="278">
        <v>0.2021829544</v>
      </c>
      <c r="H166" s="278">
        <f t="shared" si="131"/>
        <v>76.883434812940251</v>
      </c>
      <c r="I166" s="278">
        <f t="shared" si="147"/>
        <v>663.30890007671792</v>
      </c>
      <c r="J166" s="278">
        <f t="shared" si="123"/>
        <v>663.10671712231795</v>
      </c>
      <c r="K166" s="198">
        <f t="shared" si="124"/>
        <v>0.95501988071570576</v>
      </c>
      <c r="L166" s="278">
        <f t="shared" si="119"/>
        <v>-0.38999999999999968</v>
      </c>
      <c r="M166" s="284">
        <v>-4.01</v>
      </c>
      <c r="N166" s="342">
        <f t="shared" si="125"/>
        <v>76.036500545722902</v>
      </c>
      <c r="O166" s="278">
        <f t="shared" si="148"/>
        <v>656.0020070042109</v>
      </c>
      <c r="P166" s="343">
        <f t="shared" si="127"/>
        <v>659.7420070042109</v>
      </c>
      <c r="Q166" s="750">
        <f t="shared" si="151"/>
        <v>0.9501739562624254</v>
      </c>
      <c r="R166" s="299">
        <v>0</v>
      </c>
      <c r="S166" s="284"/>
      <c r="T166" s="284">
        <f t="shared" si="149"/>
        <v>690.59812898782388</v>
      </c>
      <c r="U166" s="343">
        <f t="shared" si="129"/>
        <v>694.33812898782389</v>
      </c>
      <c r="V166" s="284"/>
      <c r="W166" s="299">
        <v>0</v>
      </c>
      <c r="X166" s="340">
        <v>-3.74</v>
      </c>
      <c r="Y166" s="333">
        <v>0.18</v>
      </c>
      <c r="Z166" s="341">
        <v>660.47</v>
      </c>
      <c r="AA166" s="290">
        <v>-13</v>
      </c>
      <c r="AB166" s="288">
        <f t="shared" si="133"/>
        <v>581.89807722821456</v>
      </c>
      <c r="AC166" s="277">
        <f t="shared" si="134"/>
        <v>67.48</v>
      </c>
      <c r="AD166" s="793">
        <v>933.6</v>
      </c>
      <c r="AE166" s="790"/>
      <c r="AF166" s="278"/>
      <c r="AG166" s="288">
        <f t="shared" si="120"/>
        <v>9.379999999999999</v>
      </c>
      <c r="AH166" s="291"/>
      <c r="AI166" s="297"/>
      <c r="AJ166" s="354">
        <f t="shared" si="152"/>
        <v>0.50105</v>
      </c>
      <c r="AK166" s="352">
        <f t="shared" si="153"/>
        <v>40.324504000000005</v>
      </c>
      <c r="AL166" s="360">
        <f t="shared" si="121"/>
        <v>347.89811952934923</v>
      </c>
      <c r="AM166" s="198">
        <v>0.51780000000000004</v>
      </c>
      <c r="AN166" s="292"/>
      <c r="AO166" s="298"/>
      <c r="AP166" s="342">
        <v>-3.39</v>
      </c>
      <c r="AQ166" s="278">
        <f t="shared" si="154"/>
        <v>0.22999999999999998</v>
      </c>
      <c r="AR166" s="278">
        <v>-5.25</v>
      </c>
      <c r="AS166" s="278">
        <v>16.739999999999998</v>
      </c>
      <c r="AT166" s="278">
        <f t="shared" si="135"/>
        <v>77.170315739197477</v>
      </c>
      <c r="AU166" s="278">
        <f t="shared" si="136"/>
        <v>665.78395432099899</v>
      </c>
      <c r="AV166" s="278">
        <f t="shared" si="137"/>
        <v>649.04395432099898</v>
      </c>
      <c r="AW166" s="198"/>
      <c r="AX166" s="278">
        <v>-3.55</v>
      </c>
      <c r="AY166" s="278">
        <v>13.330564859200001</v>
      </c>
      <c r="AZ166" s="278">
        <f t="shared" si="138"/>
        <v>78.475131709002298</v>
      </c>
      <c r="BA166" s="278">
        <f t="shared" si="139"/>
        <v>677.04120431040894</v>
      </c>
      <c r="BB166" s="278">
        <f t="shared" si="140"/>
        <v>663.71063945120898</v>
      </c>
      <c r="BC166" s="198"/>
      <c r="BD166" s="284">
        <v>0</v>
      </c>
      <c r="BE166" s="284">
        <v>0</v>
      </c>
      <c r="BF166" s="278">
        <f t="shared" si="141"/>
        <v>80.480000000000018</v>
      </c>
      <c r="BG166" s="278">
        <f t="shared" si="142"/>
        <v>694.33812898782401</v>
      </c>
      <c r="BH166" s="278">
        <f t="shared" si="143"/>
        <v>694.33812898782401</v>
      </c>
      <c r="BI166" s="198"/>
      <c r="BJ166" s="284">
        <v>0</v>
      </c>
      <c r="BK166" s="284">
        <v>0</v>
      </c>
      <c r="BL166" s="278">
        <f t="shared" si="144"/>
        <v>80.480000000000018</v>
      </c>
      <c r="BM166" s="278">
        <f t="shared" si="145"/>
        <v>694.33812898782401</v>
      </c>
      <c r="BN166" s="278">
        <f t="shared" si="146"/>
        <v>694.33812898782401</v>
      </c>
      <c r="BO166" s="198"/>
      <c r="BP166" s="342">
        <f>AA166-0.39</f>
        <v>-13.39</v>
      </c>
      <c r="BQ166" s="284"/>
      <c r="BR166" s="284"/>
      <c r="BS166" s="299"/>
      <c r="BT166" s="284"/>
      <c r="BU166" s="284"/>
      <c r="BV166" s="299"/>
      <c r="BW166" s="284"/>
      <c r="BX166" s="284"/>
      <c r="BY166" s="299"/>
      <c r="BZ166" s="284"/>
      <c r="CA166" s="284"/>
      <c r="CB166" s="1">
        <v>936.4</v>
      </c>
      <c r="CC166" s="10">
        <v>934.8</v>
      </c>
      <c r="CD166" s="10">
        <v>935</v>
      </c>
      <c r="CE166" s="10">
        <v>929.2</v>
      </c>
    </row>
    <row r="167" spans="2:83" x14ac:dyDescent="0.25">
      <c r="B167" s="287">
        <v>45505</v>
      </c>
      <c r="C167" s="351">
        <v>31</v>
      </c>
      <c r="D167" s="278">
        <v>75.430000000000007</v>
      </c>
      <c r="E167" s="335">
        <v>1.3648</v>
      </c>
      <c r="F167" s="278">
        <v>-3.74</v>
      </c>
      <c r="G167" s="278">
        <v>-0.54</v>
      </c>
      <c r="H167" s="278">
        <f t="shared" si="131"/>
        <v>71.627125291303898</v>
      </c>
      <c r="I167" s="278">
        <f t="shared" si="147"/>
        <v>615.17020848944014</v>
      </c>
      <c r="J167" s="278">
        <f t="shared" si="123"/>
        <v>615.71020848944011</v>
      </c>
      <c r="K167" s="198">
        <f t="shared" si="124"/>
        <v>0.95041760572716438</v>
      </c>
      <c r="L167" s="278">
        <f t="shared" si="119"/>
        <v>-0.87999999999999989</v>
      </c>
      <c r="M167" s="278">
        <v>-4.62</v>
      </c>
      <c r="N167" s="342">
        <f t="shared" si="125"/>
        <v>70.381520503700543</v>
      </c>
      <c r="O167" s="278">
        <f t="shared" si="148"/>
        <v>604.47232059056012</v>
      </c>
      <c r="P167" s="343">
        <f t="shared" si="127"/>
        <v>608.15232059056007</v>
      </c>
      <c r="Q167" s="750">
        <f t="shared" si="151"/>
        <v>0.93875116001590875</v>
      </c>
      <c r="R167" s="299">
        <v>0</v>
      </c>
      <c r="S167" s="284"/>
      <c r="T167" s="284">
        <f t="shared" si="149"/>
        <v>644.15123205968007</v>
      </c>
      <c r="U167" s="343">
        <f t="shared" si="129"/>
        <v>647.83123205968002</v>
      </c>
      <c r="V167" s="284"/>
      <c r="W167" s="299">
        <v>0</v>
      </c>
      <c r="X167" s="340">
        <v>-3.68</v>
      </c>
      <c r="Y167" s="333">
        <v>0.19</v>
      </c>
      <c r="Z167" s="341">
        <v>609.77</v>
      </c>
      <c r="AA167" s="290">
        <v>-14.06</v>
      </c>
      <c r="AB167" s="288">
        <f t="shared" si="133"/>
        <v>526.82053894144804</v>
      </c>
      <c r="AC167" s="277">
        <f t="shared" si="134"/>
        <v>61.370000000000005</v>
      </c>
      <c r="AD167" s="793">
        <v>931.2</v>
      </c>
      <c r="AE167" s="790"/>
      <c r="AF167" s="278"/>
      <c r="AG167" s="288">
        <f t="shared" si="120"/>
        <v>10.32</v>
      </c>
      <c r="AH167" s="291"/>
      <c r="AI167" s="297"/>
      <c r="AJ167" s="354">
        <f t="shared" si="152"/>
        <v>0.53225</v>
      </c>
      <c r="AK167" s="352">
        <f t="shared" si="153"/>
        <v>40.147617500000003</v>
      </c>
      <c r="AL167" s="360">
        <f t="shared" si="121"/>
        <v>344.80817326376467</v>
      </c>
      <c r="AM167" s="354">
        <v>0.54900000000000004</v>
      </c>
      <c r="AN167" s="292"/>
      <c r="AO167" s="298"/>
      <c r="AP167" s="342">
        <v>-3.63</v>
      </c>
      <c r="AQ167" s="278">
        <f t="shared" si="154"/>
        <v>0.11000000000000032</v>
      </c>
      <c r="AR167" s="278">
        <v>-4.96</v>
      </c>
      <c r="AS167" s="278">
        <v>16.809999999999999</v>
      </c>
      <c r="AT167" s="278">
        <f t="shared" si="135"/>
        <v>72.427266394781029</v>
      </c>
      <c r="AU167" s="278">
        <f t="shared" si="136"/>
        <v>622.04222753872</v>
      </c>
      <c r="AV167" s="278">
        <f t="shared" si="137"/>
        <v>605.23222753872005</v>
      </c>
      <c r="AW167" s="198"/>
      <c r="AX167" s="278">
        <v>-5.82</v>
      </c>
      <c r="AY167" s="278">
        <v>13.89</v>
      </c>
      <c r="AZ167" s="278">
        <f t="shared" si="138"/>
        <v>71.227277229239064</v>
      </c>
      <c r="BA167" s="278">
        <f t="shared" si="139"/>
        <v>611.73610981936008</v>
      </c>
      <c r="BB167" s="278">
        <f t="shared" si="140"/>
        <v>597.84610981936009</v>
      </c>
      <c r="BC167" s="198"/>
      <c r="BD167" s="284">
        <v>0</v>
      </c>
      <c r="BE167" s="284">
        <v>0</v>
      </c>
      <c r="BF167" s="278">
        <f t="shared" si="141"/>
        <v>75.430000000000007</v>
      </c>
      <c r="BG167" s="278">
        <f t="shared" si="142"/>
        <v>647.83123205968002</v>
      </c>
      <c r="BH167" s="278">
        <f t="shared" si="143"/>
        <v>647.83123205968002</v>
      </c>
      <c r="BI167" s="198"/>
      <c r="BJ167" s="284">
        <v>0</v>
      </c>
      <c r="BK167" s="284">
        <v>0</v>
      </c>
      <c r="BL167" s="278">
        <f t="shared" si="144"/>
        <v>75.430000000000007</v>
      </c>
      <c r="BM167" s="278">
        <f t="shared" si="145"/>
        <v>647.83123205968002</v>
      </c>
      <c r="BN167" s="278">
        <f t="shared" si="146"/>
        <v>647.83123205968002</v>
      </c>
      <c r="BO167" s="198"/>
      <c r="BP167" s="342">
        <f>AA167-0.33</f>
        <v>-14.39</v>
      </c>
      <c r="BQ167" s="284"/>
      <c r="BR167" s="284"/>
      <c r="BS167" s="299"/>
      <c r="BT167" s="284"/>
      <c r="BU167" s="284"/>
      <c r="BV167" s="299"/>
      <c r="BW167" s="284"/>
      <c r="BX167" s="284"/>
      <c r="BY167" s="299"/>
      <c r="BZ167" s="284"/>
      <c r="CA167" s="284"/>
      <c r="CB167" s="1">
        <v>929.4</v>
      </c>
      <c r="CC167" s="615">
        <v>930.9</v>
      </c>
      <c r="CD167" s="615">
        <v>931</v>
      </c>
      <c r="CE167" s="615">
        <v>925.3</v>
      </c>
    </row>
    <row r="168" spans="2:83" x14ac:dyDescent="0.25">
      <c r="B168" s="287">
        <v>45536</v>
      </c>
      <c r="C168" s="351">
        <v>30</v>
      </c>
      <c r="D168" s="278">
        <v>69.37</v>
      </c>
      <c r="E168" s="335">
        <v>1.35487</v>
      </c>
      <c r="F168" s="278">
        <v>-2.7</v>
      </c>
      <c r="G168" s="278">
        <v>-0.66</v>
      </c>
      <c r="H168" s="278">
        <f t="shared" si="131"/>
        <v>66.592589914185041</v>
      </c>
      <c r="I168" s="278">
        <f>(($D168+F168)*$E168*6.29287)+G168</f>
        <v>567.76980519592303</v>
      </c>
      <c r="J168" s="278">
        <f t="shared" si="123"/>
        <v>568.429805195923</v>
      </c>
      <c r="K168" s="198">
        <f t="shared" si="124"/>
        <v>0.96107827591177741</v>
      </c>
      <c r="L168" s="278">
        <f t="shared" ref="L168:L178" si="155">M168-F168</f>
        <v>6.0000000000000053E-2</v>
      </c>
      <c r="M168" s="278">
        <v>-2.64</v>
      </c>
      <c r="N168" s="342">
        <f t="shared" si="125"/>
        <v>66.240909003260015</v>
      </c>
      <c r="O168" s="278">
        <f t="shared" si="148"/>
        <v>564.7713664425371</v>
      </c>
      <c r="P168" s="343">
        <f t="shared" si="127"/>
        <v>568.94136644253706</v>
      </c>
      <c r="Q168" s="750">
        <f t="shared" si="151"/>
        <v>0.96194320311373793</v>
      </c>
      <c r="R168" s="342">
        <v>-3.21</v>
      </c>
      <c r="S168" s="284"/>
      <c r="T168" s="284">
        <f t="shared" si="149"/>
        <v>559.91153459970417</v>
      </c>
      <c r="U168" s="343">
        <f t="shared" si="129"/>
        <v>564.08153459970413</v>
      </c>
      <c r="V168" s="284"/>
      <c r="W168" s="299">
        <v>0</v>
      </c>
      <c r="X168" s="340">
        <v>-4.17</v>
      </c>
      <c r="Y168" s="333">
        <v>0.22</v>
      </c>
      <c r="Z168" s="341">
        <v>567.54999999999995</v>
      </c>
      <c r="AA168" s="290">
        <v>-13.51</v>
      </c>
      <c r="AB168" s="278">
        <f>(D168+AA168)*E168*6.2898105</f>
        <v>476.03196834226117</v>
      </c>
      <c r="AC168" s="277">
        <f t="shared" si="134"/>
        <v>55.860000000000007</v>
      </c>
      <c r="AD168" s="793">
        <v>936.1</v>
      </c>
      <c r="AE168" s="790"/>
      <c r="AF168" s="278"/>
      <c r="AG168" s="288">
        <f t="shared" si="120"/>
        <v>10.809999999999999</v>
      </c>
      <c r="AH168" s="291"/>
      <c r="AI168" s="297"/>
      <c r="AJ168" s="354">
        <f t="shared" si="152"/>
        <v>0.51454999999999995</v>
      </c>
      <c r="AK168" s="352">
        <f t="shared" si="153"/>
        <v>35.694333499999999</v>
      </c>
      <c r="AL168" s="360">
        <f t="shared" si="121"/>
        <v>304.33062903859764</v>
      </c>
      <c r="AM168" s="198">
        <v>0.53129999999999999</v>
      </c>
      <c r="AN168" s="292"/>
      <c r="AO168" s="298"/>
      <c r="AP168" s="342">
        <v>-2.66</v>
      </c>
      <c r="AQ168" s="278">
        <f t="shared" si="154"/>
        <v>4.0000000000000036E-2</v>
      </c>
      <c r="AR168" s="278">
        <v>-4.7300000000000004</v>
      </c>
      <c r="AS168" s="278">
        <v>17.52</v>
      </c>
      <c r="AT168" s="278">
        <f t="shared" si="135"/>
        <v>66.694885914360881</v>
      </c>
      <c r="AU168" s="278">
        <f t="shared" si="136"/>
        <v>568.64198301881595</v>
      </c>
      <c r="AV168" s="278">
        <f t="shared" si="137"/>
        <v>551.12198301881597</v>
      </c>
      <c r="AW168" s="198"/>
      <c r="AX168" s="278">
        <v>-5.29</v>
      </c>
      <c r="AY168" s="278">
        <v>13.21</v>
      </c>
      <c r="AZ168" s="278">
        <f t="shared" si="138"/>
        <v>65.629374596387407</v>
      </c>
      <c r="BA168" s="278">
        <f t="shared" si="139"/>
        <v>559.55741138375208</v>
      </c>
      <c r="BB168" s="278">
        <f t="shared" si="140"/>
        <v>546.34741138375205</v>
      </c>
      <c r="BC168" s="198"/>
      <c r="BD168" s="284">
        <v>0</v>
      </c>
      <c r="BE168" s="284">
        <v>0</v>
      </c>
      <c r="BF168" s="278">
        <f t="shared" si="141"/>
        <v>69.370000000000019</v>
      </c>
      <c r="BG168" s="278">
        <f t="shared" si="142"/>
        <v>591.45006129355306</v>
      </c>
      <c r="BH168" s="278">
        <f t="shared" si="143"/>
        <v>591.45006129355306</v>
      </c>
      <c r="BI168" s="198"/>
      <c r="BJ168" s="284">
        <v>0</v>
      </c>
      <c r="BK168" s="284">
        <v>0</v>
      </c>
      <c r="BL168" s="278">
        <f t="shared" si="144"/>
        <v>69.370000000000019</v>
      </c>
      <c r="BM168" s="278">
        <f t="shared" si="145"/>
        <v>591.45006129355306</v>
      </c>
      <c r="BN168" s="278">
        <f t="shared" si="146"/>
        <v>591.45006129355306</v>
      </c>
      <c r="BO168" s="198"/>
      <c r="BP168" s="342">
        <f>AA168-0.21</f>
        <v>-13.72</v>
      </c>
      <c r="BQ168" s="284"/>
      <c r="BR168" s="284"/>
      <c r="BS168" s="299"/>
      <c r="BT168" s="284"/>
      <c r="BU168" s="284"/>
      <c r="BV168" s="299"/>
      <c r="BW168" s="284"/>
      <c r="BX168" s="284"/>
      <c r="BY168" s="299"/>
      <c r="BZ168" s="284"/>
      <c r="CA168" s="284"/>
      <c r="CB168" s="1">
        <v>928.7</v>
      </c>
      <c r="CC168" s="615">
        <v>927.8</v>
      </c>
      <c r="CD168" s="615">
        <v>928</v>
      </c>
      <c r="CE168" s="615">
        <v>921.6</v>
      </c>
    </row>
    <row r="169" spans="2:83" x14ac:dyDescent="0.25">
      <c r="B169" s="287">
        <v>45566</v>
      </c>
      <c r="C169" s="351">
        <v>31</v>
      </c>
      <c r="D169" s="278">
        <v>71.56</v>
      </c>
      <c r="E169" s="335">
        <v>1.3757699999999999</v>
      </c>
      <c r="F169" s="278">
        <v>-1.86</v>
      </c>
      <c r="G169" s="278">
        <v>-0.14915999999999999</v>
      </c>
      <c r="H169" s="278">
        <f t="shared" si="131"/>
        <v>69.682771090901241</v>
      </c>
      <c r="I169" s="278">
        <f t="shared" si="147"/>
        <v>603.28150066502997</v>
      </c>
      <c r="J169" s="278">
        <f t="shared" si="123"/>
        <v>603.43066066503002</v>
      </c>
      <c r="K169" s="198">
        <f t="shared" si="124"/>
        <v>0.97400782560089438</v>
      </c>
      <c r="L169" s="278">
        <f t="shared" si="155"/>
        <v>1.9700000000000002</v>
      </c>
      <c r="M169" s="278">
        <v>0.11</v>
      </c>
      <c r="N169" s="342">
        <f t="shared" si="125"/>
        <v>71.275962996632501</v>
      </c>
      <c r="O169" s="278">
        <f t="shared" si="148"/>
        <v>617.07462612043298</v>
      </c>
      <c r="P169" s="343">
        <f t="shared" si="127"/>
        <v>620.48601793203295</v>
      </c>
      <c r="Q169" s="750">
        <f t="shared" si="151"/>
        <v>1.0015371716042483</v>
      </c>
      <c r="R169" s="299">
        <v>0</v>
      </c>
      <c r="S169" s="284"/>
      <c r="T169" s="284">
        <f t="shared" si="149"/>
        <v>616.12229652684391</v>
      </c>
      <c r="U169" s="343">
        <f t="shared" si="129"/>
        <v>619.53368833844388</v>
      </c>
      <c r="V169" s="284"/>
      <c r="W169" s="299">
        <v>0</v>
      </c>
      <c r="X169" s="340">
        <v>-3.4113918116000002</v>
      </c>
      <c r="Y169" s="333">
        <v>0.28999999999999998</v>
      </c>
      <c r="Z169" s="340"/>
      <c r="AA169" s="342">
        <v>-13.71</v>
      </c>
      <c r="AB169" s="278">
        <f t="shared" si="133"/>
        <v>500.59529042319224</v>
      </c>
      <c r="AC169" s="277">
        <f t="shared" si="134"/>
        <v>57.85</v>
      </c>
      <c r="AD169" s="793">
        <v>930.8</v>
      </c>
      <c r="AE169" s="790"/>
      <c r="AF169" s="278"/>
      <c r="AG169" s="278">
        <f t="shared" si="120"/>
        <v>11.850000000000001</v>
      </c>
      <c r="AH169" s="291"/>
      <c r="AI169" s="297"/>
      <c r="AJ169" s="354">
        <f t="shared" si="152"/>
        <v>0.51044999999999996</v>
      </c>
      <c r="AK169" s="352">
        <f t="shared" si="153"/>
        <v>36.527802000000001</v>
      </c>
      <c r="AL169" s="360">
        <f t="shared" si="121"/>
        <v>316.24097121235872</v>
      </c>
      <c r="AM169" s="198">
        <v>0.5272</v>
      </c>
      <c r="AN169" s="292"/>
      <c r="AO169" s="298"/>
      <c r="AP169" s="342">
        <v>-1.96</v>
      </c>
      <c r="AQ169" s="278">
        <f t="shared" si="154"/>
        <v>-9.9999999999999867E-2</v>
      </c>
      <c r="AR169" s="278">
        <v>-2.99</v>
      </c>
      <c r="AS169" s="278">
        <v>18.82</v>
      </c>
      <c r="AT169" s="278">
        <f t="shared" si="135"/>
        <v>70.743827227397347</v>
      </c>
      <c r="AU169" s="278">
        <f t="shared" si="136"/>
        <v>612.46763847634304</v>
      </c>
      <c r="AV169" s="278">
        <f t="shared" si="137"/>
        <v>593.64763847634299</v>
      </c>
      <c r="AW169" s="198"/>
      <c r="AX169" s="278">
        <v>-3.04</v>
      </c>
      <c r="AY169" s="278">
        <v>13.298999999999999</v>
      </c>
      <c r="AZ169" s="278">
        <f t="shared" si="138"/>
        <v>70.056117337787299</v>
      </c>
      <c r="BA169" s="278">
        <f t="shared" si="139"/>
        <v>606.51376138834792</v>
      </c>
      <c r="BB169" s="278">
        <f t="shared" si="140"/>
        <v>593.21476138834794</v>
      </c>
      <c r="BC169" s="198"/>
      <c r="BD169" s="284">
        <v>0</v>
      </c>
      <c r="BE169" s="284">
        <v>0</v>
      </c>
      <c r="BF169" s="278">
        <f t="shared" si="141"/>
        <v>71.56</v>
      </c>
      <c r="BG169" s="278">
        <f t="shared" si="142"/>
        <v>619.53368833844399</v>
      </c>
      <c r="BH169" s="278">
        <f t="shared" si="143"/>
        <v>619.53368833844399</v>
      </c>
      <c r="BI169" s="198"/>
      <c r="BJ169" s="284">
        <v>0</v>
      </c>
      <c r="BK169" s="284">
        <v>0</v>
      </c>
      <c r="BL169" s="278">
        <f t="shared" si="144"/>
        <v>71.56</v>
      </c>
      <c r="BM169" s="278">
        <f t="shared" si="145"/>
        <v>619.53368833844399</v>
      </c>
      <c r="BN169" s="278">
        <f t="shared" si="146"/>
        <v>619.53368833844399</v>
      </c>
      <c r="BO169" s="198"/>
      <c r="BP169" s="342">
        <f>AA169-0.15</f>
        <v>-13.860000000000001</v>
      </c>
      <c r="BQ169" s="284"/>
      <c r="BR169" s="284"/>
      <c r="BS169" s="299"/>
      <c r="BT169" s="284"/>
      <c r="BU169" s="284"/>
      <c r="BV169" s="299"/>
      <c r="BW169" s="284"/>
      <c r="BX169" s="284"/>
      <c r="BY169" s="299"/>
      <c r="BZ169" s="284"/>
      <c r="CA169" s="284"/>
      <c r="CB169" s="1">
        <v>929.6</v>
      </c>
      <c r="CC169" s="615">
        <v>925.6</v>
      </c>
      <c r="CD169" s="615">
        <v>925.6</v>
      </c>
      <c r="CE169" s="615">
        <v>917.9</v>
      </c>
    </row>
    <row r="170" spans="2:83" x14ac:dyDescent="0.25">
      <c r="B170" s="287">
        <v>45597</v>
      </c>
      <c r="C170" s="351">
        <v>30</v>
      </c>
      <c r="D170" s="278">
        <v>69.540000000000006</v>
      </c>
      <c r="E170" s="335">
        <v>1.3976</v>
      </c>
      <c r="F170" s="278">
        <v>-1.86</v>
      </c>
      <c r="G170" s="278">
        <v>0.3</v>
      </c>
      <c r="H170" s="278">
        <f t="shared" si="131"/>
        <v>67.714110619167954</v>
      </c>
      <c r="I170" s="278">
        <f t="shared" si="147"/>
        <v>595.53985478015989</v>
      </c>
      <c r="J170" s="278">
        <f t="shared" si="123"/>
        <v>595.23985478015993</v>
      </c>
      <c r="K170" s="198">
        <f t="shared" si="124"/>
        <v>0.97325280414150128</v>
      </c>
      <c r="L170" s="278">
        <f t="shared" si="155"/>
        <v>2.68</v>
      </c>
      <c r="M170" s="278">
        <v>0.82</v>
      </c>
      <c r="N170" s="342">
        <f t="shared" si="125"/>
        <v>69.935891301678311</v>
      </c>
      <c r="O170" s="278">
        <f t="shared" si="148"/>
        <v>615.08022728031995</v>
      </c>
      <c r="P170" s="343">
        <f t="shared" si="127"/>
        <v>618.81022728031996</v>
      </c>
      <c r="Q170" s="750">
        <f t="shared" si="151"/>
        <v>1.0117917745182627</v>
      </c>
      <c r="R170" s="299">
        <v>0</v>
      </c>
      <c r="S170" s="284"/>
      <c r="T170" s="284">
        <f t="shared" si="149"/>
        <v>607.86839688847999</v>
      </c>
      <c r="U170" s="353">
        <f t="shared" si="129"/>
        <v>611.59839688848001</v>
      </c>
      <c r="V170" s="284"/>
      <c r="W170" s="299">
        <v>0</v>
      </c>
      <c r="X170" s="340">
        <v>-3.73</v>
      </c>
      <c r="Y170" s="333">
        <v>0.26</v>
      </c>
      <c r="Z170" s="340"/>
      <c r="AA170" s="277">
        <v>-12.01</v>
      </c>
      <c r="AB170" s="278">
        <f t="shared" si="133"/>
        <v>505.72547057564401</v>
      </c>
      <c r="AC170" s="277">
        <f t="shared" si="134"/>
        <v>57.530000000000008</v>
      </c>
      <c r="AD170" s="793">
        <v>926.2</v>
      </c>
      <c r="AE170" s="790"/>
      <c r="AF170" s="278"/>
      <c r="AG170" s="278">
        <f t="shared" si="120"/>
        <v>10.15</v>
      </c>
      <c r="AH170" s="298"/>
      <c r="AI170" s="292"/>
      <c r="AJ170" s="354">
        <f t="shared" si="152"/>
        <v>0.51154999999999995</v>
      </c>
      <c r="AK170" s="352">
        <f t="shared" si="153"/>
        <v>35.573186999999997</v>
      </c>
      <c r="AL170" s="360">
        <f t="shared" si="121"/>
        <v>312.86315992830191</v>
      </c>
      <c r="AM170" s="198">
        <v>0.52829999999999999</v>
      </c>
      <c r="AN170" s="292"/>
      <c r="AO170" s="298"/>
      <c r="AP170" s="342">
        <v>-1.83</v>
      </c>
      <c r="AQ170" s="278">
        <f>AP170-F170</f>
        <v>3.0000000000000027E-2</v>
      </c>
      <c r="AR170" s="278">
        <v>-3.33</v>
      </c>
      <c r="AS170" s="278">
        <v>18.440000000000001</v>
      </c>
      <c r="AT170" s="278">
        <f t="shared" si="135"/>
        <v>68.306666058190842</v>
      </c>
      <c r="AU170" s="278">
        <f t="shared" si="136"/>
        <v>600.75132956552011</v>
      </c>
      <c r="AV170" s="278">
        <f t="shared" si="137"/>
        <v>582.31132956552005</v>
      </c>
      <c r="AW170" s="354"/>
      <c r="AX170" s="278">
        <v>-3.86</v>
      </c>
      <c r="AY170" s="278">
        <v>14.08</v>
      </c>
      <c r="AZ170" s="284">
        <f t="shared" si="138"/>
        <v>67.280925059616436</v>
      </c>
      <c r="BA170" s="278">
        <f t="shared" si="139"/>
        <v>591.73002455616006</v>
      </c>
      <c r="BB170" s="278">
        <f t="shared" si="140"/>
        <v>577.65002455616002</v>
      </c>
      <c r="BC170" s="354"/>
      <c r="BD170" s="284">
        <v>-3</v>
      </c>
      <c r="BE170" s="284">
        <v>-8</v>
      </c>
      <c r="BF170" s="284">
        <f t="shared" si="141"/>
        <v>65.630383488854307</v>
      </c>
      <c r="BG170" s="284">
        <f t="shared" si="142"/>
        <v>577.21365155247997</v>
      </c>
      <c r="BH170" s="278">
        <f t="shared" si="143"/>
        <v>585.21365155247997</v>
      </c>
      <c r="BI170" s="354"/>
      <c r="BJ170" s="284">
        <v>-6</v>
      </c>
      <c r="BK170" s="284">
        <v>-12</v>
      </c>
      <c r="BL170" s="284">
        <f t="shared" si="144"/>
        <v>64.753325387184248</v>
      </c>
      <c r="BM170" s="284">
        <v>569.5</v>
      </c>
      <c r="BN170" s="278">
        <f t="shared" si="146"/>
        <v>581.5</v>
      </c>
      <c r="BO170" s="354"/>
      <c r="BP170" s="277">
        <f>AA170-0.09</f>
        <v>-12.1</v>
      </c>
      <c r="BQ170" s="284"/>
      <c r="BR170" s="284"/>
      <c r="BS170" s="352"/>
      <c r="BT170" s="284"/>
      <c r="BU170" s="284"/>
      <c r="BV170" s="352"/>
      <c r="BW170" s="284"/>
      <c r="BX170" s="284"/>
      <c r="BY170" s="352"/>
      <c r="BZ170" s="284"/>
      <c r="CA170" s="284"/>
      <c r="CB170" s="1">
        <v>924.2</v>
      </c>
      <c r="CC170" s="615">
        <v>923</v>
      </c>
      <c r="CD170" s="615">
        <v>923</v>
      </c>
      <c r="CE170" s="615">
        <v>914.6</v>
      </c>
    </row>
    <row r="171" spans="2:83" x14ac:dyDescent="0.25">
      <c r="B171" s="300">
        <v>45627</v>
      </c>
      <c r="C171" s="355">
        <v>31</v>
      </c>
      <c r="D171" s="312">
        <v>69.7</v>
      </c>
      <c r="E171" s="336">
        <v>1.4240699999999999</v>
      </c>
      <c r="F171" s="312">
        <v>-3.54</v>
      </c>
      <c r="G171" s="312">
        <v>-0.03</v>
      </c>
      <c r="H171" s="312">
        <f t="shared" si="131"/>
        <v>66.156652341433414</v>
      </c>
      <c r="I171" s="312">
        <f t="shared" si="147"/>
        <v>592.86200512034395</v>
      </c>
      <c r="J171" s="312">
        <f t="shared" si="123"/>
        <v>592.89200512034392</v>
      </c>
      <c r="K171" s="236">
        <f t="shared" si="124"/>
        <v>0.94921090387374452</v>
      </c>
      <c r="L171" s="312">
        <f t="shared" si="155"/>
        <v>4.84</v>
      </c>
      <c r="M171" s="312">
        <v>1.3</v>
      </c>
      <c r="N171" s="344">
        <f t="shared" si="125"/>
        <v>70.521396413597444</v>
      </c>
      <c r="O171" s="312">
        <f t="shared" si="148"/>
        <v>631.97660404390001</v>
      </c>
      <c r="P171" s="345">
        <f t="shared" si="127"/>
        <v>636.2656040439</v>
      </c>
      <c r="Q171" s="751">
        <f t="shared" si="151"/>
        <v>1.018651362984218</v>
      </c>
      <c r="R171" s="314">
        <v>0</v>
      </c>
      <c r="S171" s="311"/>
      <c r="T171" s="311">
        <f t="shared" si="149"/>
        <v>620.32667044872994</v>
      </c>
      <c r="U171" s="356">
        <f t="shared" si="129"/>
        <v>624.61567044872993</v>
      </c>
      <c r="V171" s="311"/>
      <c r="W171" s="299">
        <v>0</v>
      </c>
      <c r="X171" s="346">
        <v>-4.2889999999999997</v>
      </c>
      <c r="Y171" s="307">
        <v>0.25</v>
      </c>
      <c r="Z171" s="346"/>
      <c r="AA171" s="344">
        <v>-11.95</v>
      </c>
      <c r="AB171" s="312">
        <f t="shared" si="133"/>
        <v>517.27428283694621</v>
      </c>
      <c r="AC171" s="344">
        <f t="shared" si="134"/>
        <v>57.75</v>
      </c>
      <c r="AD171" s="794">
        <v>921.4</v>
      </c>
      <c r="AE171" s="791"/>
      <c r="AF171" s="312"/>
      <c r="AG171" s="312">
        <f t="shared" si="120"/>
        <v>8.41</v>
      </c>
      <c r="AH171" s="310"/>
      <c r="AI171" s="305"/>
      <c r="AJ171" s="357">
        <f t="shared" si="152"/>
        <v>0.50974999999999993</v>
      </c>
      <c r="AK171" s="314">
        <f t="shared" si="153"/>
        <v>35.529574999999994</v>
      </c>
      <c r="AL171" s="914">
        <f t="shared" si="121"/>
        <v>318.39783801124008</v>
      </c>
      <c r="AM171" s="198">
        <v>0.52649999999999997</v>
      </c>
      <c r="AN171" s="305"/>
      <c r="AO171" s="310"/>
      <c r="AP171" s="344">
        <v>-3.47</v>
      </c>
      <c r="AQ171" s="312">
        <f t="shared" si="154"/>
        <v>6.999999999999984E-2</v>
      </c>
      <c r="AR171" s="312">
        <v>-4.96</v>
      </c>
      <c r="AS171" s="312">
        <v>17.64</v>
      </c>
      <c r="AT171" s="312">
        <f t="shared" si="135"/>
        <v>66.708423237151123</v>
      </c>
      <c r="AU171" s="278">
        <f t="shared" si="136"/>
        <v>597.80669303946604</v>
      </c>
      <c r="AV171" s="312">
        <f t="shared" si="137"/>
        <v>580.16669303946605</v>
      </c>
      <c r="AW171" s="357"/>
      <c r="AX171" s="312">
        <v>-5.41</v>
      </c>
      <c r="AY171" s="312">
        <v>12.9</v>
      </c>
      <c r="AZ171" s="311">
        <f t="shared" si="138"/>
        <v>67.02124038919095</v>
      </c>
      <c r="BA171" s="312">
        <v>600.61</v>
      </c>
      <c r="BB171" s="312">
        <f t="shared" si="140"/>
        <v>587.71</v>
      </c>
      <c r="BC171" s="357"/>
      <c r="BD171" s="311">
        <v>-3</v>
      </c>
      <c r="BE171" s="311">
        <v>-8</v>
      </c>
      <c r="BF171" s="311">
        <f t="shared" si="141"/>
        <v>64.755991425802748</v>
      </c>
      <c r="BG171" s="311">
        <v>580.30999999999995</v>
      </c>
      <c r="BH171" s="312">
        <f t="shared" si="143"/>
        <v>588.30999999999995</v>
      </c>
      <c r="BI171" s="357"/>
      <c r="BJ171" s="311">
        <v>-6</v>
      </c>
      <c r="BK171" s="311">
        <v>-12</v>
      </c>
      <c r="BL171" s="311">
        <f t="shared" si="144"/>
        <v>65.406553073908825</v>
      </c>
      <c r="BM171" s="311">
        <v>586.14</v>
      </c>
      <c r="BN171" s="312">
        <f t="shared" si="146"/>
        <v>598.14</v>
      </c>
      <c r="BO171" s="357"/>
      <c r="BP171" s="344">
        <f>AA171-0.04</f>
        <v>-11.989999999999998</v>
      </c>
      <c r="BQ171" s="311"/>
      <c r="BR171" s="311"/>
      <c r="BS171" s="314"/>
      <c r="BT171" s="311"/>
      <c r="BU171" s="311"/>
      <c r="BV171" s="314"/>
      <c r="BW171" s="311"/>
      <c r="BX171" s="311"/>
      <c r="BY171" s="314"/>
      <c r="BZ171" s="311"/>
      <c r="CA171" s="311"/>
      <c r="CB171" s="1">
        <v>921.8</v>
      </c>
      <c r="CC171" s="615">
        <v>921.8</v>
      </c>
      <c r="CD171" s="615">
        <v>921.1</v>
      </c>
      <c r="CE171" s="615">
        <v>912.3</v>
      </c>
    </row>
    <row r="172" spans="2:83" x14ac:dyDescent="0.25">
      <c r="B172" s="322">
        <v>45658</v>
      </c>
      <c r="C172" s="348">
        <v>31</v>
      </c>
      <c r="D172" s="316">
        <v>75.099999999999994</v>
      </c>
      <c r="E172" s="334">
        <v>1.43869</v>
      </c>
      <c r="F172" s="316">
        <v>-4.74</v>
      </c>
      <c r="G172" s="316">
        <v>-0.35</v>
      </c>
      <c r="H172" s="316">
        <f t="shared" si="131"/>
        <v>70.321340871505313</v>
      </c>
      <c r="I172" s="316">
        <f t="shared" si="147"/>
        <v>636.65349591150789</v>
      </c>
      <c r="J172" s="316">
        <f t="shared" si="123"/>
        <v>637.00349591150791</v>
      </c>
      <c r="K172" s="159">
        <f t="shared" si="124"/>
        <v>0.93688415446071915</v>
      </c>
      <c r="L172" s="316">
        <f t="shared" si="155"/>
        <v>4.7200000000000006</v>
      </c>
      <c r="M172" s="316">
        <v>-0.02</v>
      </c>
      <c r="N172" s="349">
        <f t="shared" si="125"/>
        <v>74.666899598371188</v>
      </c>
      <c r="O172" s="316">
        <f t="shared" si="148"/>
        <v>675.99596465372395</v>
      </c>
      <c r="P172" s="350">
        <f t="shared" si="127"/>
        <v>679.73596465372395</v>
      </c>
      <c r="Q172" s="752">
        <f t="shared" si="151"/>
        <v>0.99973368841544608</v>
      </c>
      <c r="R172" s="332">
        <v>0</v>
      </c>
      <c r="S172" s="318"/>
      <c r="T172" s="318">
        <f t="shared" si="149"/>
        <v>676.17703443652988</v>
      </c>
      <c r="U172" s="358">
        <f t="shared" si="129"/>
        <v>679.91703443652989</v>
      </c>
      <c r="V172" s="318"/>
      <c r="W172" s="318">
        <v>0</v>
      </c>
      <c r="X172" s="337">
        <v>-3.74</v>
      </c>
      <c r="Y172" s="328">
        <v>0.28000000000000003</v>
      </c>
      <c r="Z172" s="337"/>
      <c r="AA172" s="349">
        <v>-12.27</v>
      </c>
      <c r="AB172" s="316">
        <f t="shared" si="133"/>
        <v>568.55416562983339</v>
      </c>
      <c r="AC172" s="349">
        <f t="shared" si="134"/>
        <v>62.83</v>
      </c>
      <c r="AD172" s="793">
        <v>920.4</v>
      </c>
      <c r="AE172" s="349"/>
      <c r="AF172" s="349"/>
      <c r="AG172" s="316">
        <f t="shared" si="120"/>
        <v>7.5299999999999994</v>
      </c>
      <c r="AH172" s="331"/>
      <c r="AI172" s="326"/>
      <c r="AJ172" s="159">
        <f t="shared" ref="AJ166:AJ178" si="156">AK172/D172</f>
        <v>0.559254327563249</v>
      </c>
      <c r="AK172" s="332">
        <v>42</v>
      </c>
      <c r="AL172" s="151">
        <f t="shared" si="121"/>
        <v>380.24654389260002</v>
      </c>
      <c r="AM172" s="132">
        <v>0.51939999999999997</v>
      </c>
      <c r="AN172" s="326"/>
      <c r="AO172" s="331"/>
      <c r="AP172" s="349">
        <v>-4.72</v>
      </c>
      <c r="AQ172" s="316">
        <f t="shared" si="154"/>
        <v>2.0000000000000462E-2</v>
      </c>
      <c r="AR172" s="316">
        <v>-6.62</v>
      </c>
      <c r="AS172" s="316">
        <v>18.760000000000002</v>
      </c>
      <c r="AT172" s="316">
        <f t="shared" si="135"/>
        <v>70.552129287314557</v>
      </c>
      <c r="AU172" s="278">
        <f t="shared" si="136"/>
        <v>638.74293632774391</v>
      </c>
      <c r="AV172" s="316">
        <f t="shared" si="137"/>
        <v>619.98293632774391</v>
      </c>
      <c r="AW172" s="339"/>
      <c r="AX172" s="316">
        <v>-5.24</v>
      </c>
      <c r="AY172" s="316">
        <v>12.15</v>
      </c>
      <c r="AZ172" s="318">
        <f t="shared" si="138"/>
        <v>70.556223142366647</v>
      </c>
      <c r="BA172" s="316">
        <v>638.78</v>
      </c>
      <c r="BB172" s="316">
        <f t="shared" si="140"/>
        <v>626.63</v>
      </c>
      <c r="BC172" s="339"/>
      <c r="BD172" s="318">
        <v>-3</v>
      </c>
      <c r="BE172" s="318">
        <v>-8</v>
      </c>
      <c r="BF172" s="318">
        <f t="shared" si="141"/>
        <v>71.216362777264564</v>
      </c>
      <c r="BG172" s="318">
        <f t="shared" ref="BG172:BG178" si="157">(($D172+BD172)*6.29287*$E172)+BE172</f>
        <v>644.75656701562991</v>
      </c>
      <c r="BH172" s="316">
        <f t="shared" si="143"/>
        <v>652.75656701562991</v>
      </c>
      <c r="BI172" s="339"/>
      <c r="BJ172" s="318">
        <v>-6</v>
      </c>
      <c r="BK172" s="318">
        <v>-12</v>
      </c>
      <c r="BL172" s="318">
        <f t="shared" si="144"/>
        <v>67.774544165896856</v>
      </c>
      <c r="BM172" s="318">
        <f t="shared" ref="BM172:BM178" si="158">(($D172+BJ172)*6.29287*$E172)+BK172</f>
        <v>613.59609959472994</v>
      </c>
      <c r="BN172" s="316">
        <f t="shared" si="146"/>
        <v>625.59609959472994</v>
      </c>
      <c r="BO172" s="339"/>
      <c r="BP172" s="349">
        <f>AA172-0.13</f>
        <v>-12.4</v>
      </c>
      <c r="BQ172" s="318"/>
      <c r="BR172" s="318"/>
      <c r="BS172" s="332"/>
      <c r="BT172" s="318"/>
      <c r="BU172" s="318"/>
      <c r="BV172" s="332"/>
      <c r="BW172" s="318"/>
      <c r="BX172" s="318"/>
      <c r="BY172" s="332"/>
      <c r="BZ172" s="318"/>
      <c r="CA172" s="318"/>
      <c r="CB172" s="1">
        <v>921.2</v>
      </c>
      <c r="CC172" s="615">
        <v>921.2</v>
      </c>
      <c r="CD172" s="615">
        <v>921.3</v>
      </c>
      <c r="CE172" s="615">
        <v>912.9</v>
      </c>
    </row>
    <row r="173" spans="2:83" x14ac:dyDescent="0.25">
      <c r="B173" s="287">
        <v>45689</v>
      </c>
      <c r="C173" s="351">
        <v>28</v>
      </c>
      <c r="D173" s="278">
        <v>71.209999999999994</v>
      </c>
      <c r="E173" s="335">
        <v>1.43</v>
      </c>
      <c r="F173" s="278">
        <v>-4.8499999999999996</v>
      </c>
      <c r="G173" s="278">
        <v>0.17</v>
      </c>
      <c r="H173" s="278">
        <f t="shared" si="131"/>
        <v>66.378891399136023</v>
      </c>
      <c r="I173" s="278">
        <f>(($D173+F173)*$E173*6.29287)+G173</f>
        <v>597.3306400759999</v>
      </c>
      <c r="J173" s="278">
        <f t="shared" si="123"/>
        <v>597.16064007599994</v>
      </c>
      <c r="K173" s="198">
        <f t="shared" si="124"/>
        <v>0.9318915882600759</v>
      </c>
      <c r="L173" s="278">
        <f t="shared" si="155"/>
        <v>3.4899999999999993</v>
      </c>
      <c r="M173" s="278">
        <v>-1.36</v>
      </c>
      <c r="N173" s="342">
        <f t="shared" si="125"/>
        <v>69.358823622463348</v>
      </c>
      <c r="O173" s="278">
        <f>(($D173+M173)*$E173*6.29287)+X173</f>
        <v>624.14646638499994</v>
      </c>
      <c r="P173" s="343">
        <f>O173-X173</f>
        <v>628.5664663849999</v>
      </c>
      <c r="Q173" s="750">
        <f t="shared" si="151"/>
        <v>0.98090155876983576</v>
      </c>
      <c r="R173" s="299">
        <v>0</v>
      </c>
      <c r="S173" s="284"/>
      <c r="T173" s="284">
        <f t="shared" si="149"/>
        <v>636.3848399609999</v>
      </c>
      <c r="U173" s="353">
        <f t="shared" si="129"/>
        <v>640.80483996099986</v>
      </c>
      <c r="V173" s="284"/>
      <c r="W173" s="284">
        <v>0</v>
      </c>
      <c r="X173" s="340">
        <v>-4.42</v>
      </c>
      <c r="Y173" s="333">
        <v>0.26</v>
      </c>
      <c r="Z173" s="340"/>
      <c r="AA173" s="342">
        <v>-12.17</v>
      </c>
      <c r="AB173" s="278">
        <f t="shared" si="133"/>
        <v>531.03108904559986</v>
      </c>
      <c r="AC173" s="277">
        <f t="shared" si="134"/>
        <v>59.039999999999992</v>
      </c>
      <c r="AD173" s="793">
        <v>919.7</v>
      </c>
      <c r="AE173" s="277"/>
      <c r="AF173" s="277"/>
      <c r="AG173" s="278">
        <f t="shared" si="120"/>
        <v>7.32</v>
      </c>
      <c r="AH173" s="298"/>
      <c r="AI173" s="292"/>
      <c r="AJ173" s="198">
        <f t="shared" si="156"/>
        <v>0.58980480269625057</v>
      </c>
      <c r="AK173" s="299">
        <v>42</v>
      </c>
      <c r="AL173" s="190">
        <f t="shared" si="121"/>
        <v>377.94977219999998</v>
      </c>
      <c r="AM173" s="171">
        <v>0.52429999999999999</v>
      </c>
      <c r="AN173" s="292"/>
      <c r="AO173" s="298"/>
      <c r="AP173" s="342">
        <v>-4.67</v>
      </c>
      <c r="AQ173" s="278">
        <f t="shared" si="154"/>
        <v>0.17999999999999972</v>
      </c>
      <c r="AR173" s="278">
        <v>-5.98</v>
      </c>
      <c r="AS173" s="278">
        <v>20.86</v>
      </c>
      <c r="AT173" s="278">
        <f t="shared" si="135"/>
        <v>67.54808579986755</v>
      </c>
      <c r="AU173" s="278">
        <f>(($D173+AR173)*6.29287*$E173)+AS173</f>
        <v>607.85199144299986</v>
      </c>
      <c r="AV173" s="278">
        <f t="shared" si="137"/>
        <v>586.99199144299985</v>
      </c>
      <c r="AW173" s="354"/>
      <c r="AX173" s="278">
        <v>-5.69</v>
      </c>
      <c r="AY173" s="278">
        <v>12.13</v>
      </c>
      <c r="AZ173" s="284">
        <f t="shared" si="138"/>
        <v>66.867956891294028</v>
      </c>
      <c r="BA173" s="278">
        <f t="shared" ref="BA173:BA178" si="159">(($D173+AX173)*6.29287*$E173)+AY173</f>
        <v>601.73164463199987</v>
      </c>
      <c r="BB173" s="278">
        <f t="shared" si="140"/>
        <v>589.60164463199987</v>
      </c>
      <c r="BC173" s="354"/>
      <c r="BD173" s="284"/>
      <c r="BE173" s="284"/>
      <c r="BF173" s="284">
        <f t="shared" si="141"/>
        <v>71.209999999999994</v>
      </c>
      <c r="BG173" s="284">
        <f t="shared" si="157"/>
        <v>640.80483996099986</v>
      </c>
      <c r="BH173" s="278">
        <f t="shared" si="143"/>
        <v>640.80483996099986</v>
      </c>
      <c r="BI173" s="354"/>
      <c r="BJ173" s="284"/>
      <c r="BK173" s="284"/>
      <c r="BL173" s="284">
        <f t="shared" si="144"/>
        <v>71.209999999999994</v>
      </c>
      <c r="BM173" s="284">
        <f t="shared" si="158"/>
        <v>640.80483996099986</v>
      </c>
      <c r="BN173" s="278">
        <f t="shared" si="146"/>
        <v>640.80483996099986</v>
      </c>
      <c r="BO173" s="354"/>
      <c r="BP173" s="342">
        <f>AA173-0.1</f>
        <v>-12.27</v>
      </c>
      <c r="BQ173" s="284"/>
      <c r="BR173" s="284"/>
      <c r="BS173" s="342"/>
      <c r="BT173" s="278"/>
      <c r="BU173" s="278"/>
      <c r="BV173" s="299"/>
      <c r="BW173" s="284"/>
      <c r="BX173" s="284"/>
      <c r="BY173" s="342"/>
      <c r="BZ173" s="278"/>
      <c r="CA173" s="278"/>
      <c r="CB173" s="1">
        <v>920.2</v>
      </c>
      <c r="CC173" s="615">
        <v>921.2</v>
      </c>
      <c r="CD173" s="615">
        <v>920.9</v>
      </c>
      <c r="CE173" s="615">
        <v>915.3</v>
      </c>
    </row>
    <row r="174" spans="2:83" x14ac:dyDescent="0.25">
      <c r="B174" s="287">
        <v>45717</v>
      </c>
      <c r="C174" s="351">
        <v>31</v>
      </c>
      <c r="D174" s="278">
        <v>67.94</v>
      </c>
      <c r="E174" s="335">
        <v>1.4357</v>
      </c>
      <c r="F174" s="284">
        <v>-5.35</v>
      </c>
      <c r="G174" s="284">
        <v>0</v>
      </c>
      <c r="H174" s="284">
        <f t="shared" si="131"/>
        <v>62.59</v>
      </c>
      <c r="I174" s="284">
        <f t="shared" si="147"/>
        <v>565.48021179880993</v>
      </c>
      <c r="J174" s="284">
        <f t="shared" si="123"/>
        <v>565.48021179880993</v>
      </c>
      <c r="K174" s="354">
        <f t="shared" si="124"/>
        <v>0.92125404768913743</v>
      </c>
      <c r="L174" s="284">
        <f t="shared" si="155"/>
        <v>2.7499999999999996</v>
      </c>
      <c r="M174" s="278">
        <v>-2.6</v>
      </c>
      <c r="N174" s="342">
        <f t="shared" si="125"/>
        <v>64.916077650467301</v>
      </c>
      <c r="O174" s="278">
        <f>(($D174+M174)*$E174*6.29287)+X174</f>
        <v>586.49556381105992</v>
      </c>
      <c r="P174" s="343">
        <f>O174-X174</f>
        <v>590.32556381105996</v>
      </c>
      <c r="Q174" s="750">
        <f t="shared" si="151"/>
        <v>0.96173093906387996</v>
      </c>
      <c r="R174" s="299">
        <v>0</v>
      </c>
      <c r="S174" s="284"/>
      <c r="T174" s="284">
        <f t="shared" si="149"/>
        <v>609.98571480445992</v>
      </c>
      <c r="U174" s="353">
        <f t="shared" si="129"/>
        <v>613.81571480445996</v>
      </c>
      <c r="V174" s="284"/>
      <c r="W174" s="284">
        <v>0</v>
      </c>
      <c r="X174" s="340">
        <v>-3.83</v>
      </c>
      <c r="Y174" s="333">
        <v>0.24</v>
      </c>
      <c r="Z174" s="340"/>
      <c r="AA174" s="299">
        <v>-13.56</v>
      </c>
      <c r="AB174" s="284">
        <f t="shared" si="133"/>
        <v>491.06667723714293</v>
      </c>
      <c r="AC174" s="352">
        <f t="shared" si="134"/>
        <v>54.379999999999995</v>
      </c>
      <c r="AD174" s="793">
        <v>922.3</v>
      </c>
      <c r="AE174" s="352"/>
      <c r="AF174" s="352"/>
      <c r="AG174" s="284">
        <f t="shared" si="120"/>
        <v>8.2100000000000009</v>
      </c>
      <c r="AH174" s="298"/>
      <c r="AI174" s="292"/>
      <c r="AJ174" s="198">
        <f t="shared" si="156"/>
        <v>0.61819252281424786</v>
      </c>
      <c r="AK174" s="352">
        <v>42</v>
      </c>
      <c r="AL174" s="360">
        <f t="shared" si="121"/>
        <v>379.456285278</v>
      </c>
      <c r="AM174" s="171">
        <v>0.52800000000000002</v>
      </c>
      <c r="AN174" s="292"/>
      <c r="AO174" s="298"/>
      <c r="AP174" s="299">
        <v>-5.62</v>
      </c>
      <c r="AQ174" s="284">
        <f t="shared" si="154"/>
        <v>-0.27000000000000046</v>
      </c>
      <c r="AR174" s="284">
        <v>-9.8000000000000007</v>
      </c>
      <c r="AS174" s="284"/>
      <c r="AT174" s="284">
        <f t="shared" si="135"/>
        <v>58.140000000000015</v>
      </c>
      <c r="AU174" s="284">
        <f t="shared" ref="AU174:AU178" si="160">(($D174+AR174)*6.29287*$E174)+AS174</f>
        <v>525.27591490626003</v>
      </c>
      <c r="AV174" s="284">
        <f t="shared" si="137"/>
        <v>525.27591490626003</v>
      </c>
      <c r="AW174" s="354"/>
      <c r="AX174" s="284">
        <v>-7.58</v>
      </c>
      <c r="AY174" s="284"/>
      <c r="AZ174" s="284">
        <f t="shared" si="138"/>
        <v>60.360000000000007</v>
      </c>
      <c r="BA174" s="284">
        <f t="shared" si="159"/>
        <v>545.33288998523994</v>
      </c>
      <c r="BB174" s="284">
        <f t="shared" si="140"/>
        <v>545.33288998523994</v>
      </c>
      <c r="BC174" s="354"/>
      <c r="BD174" s="284"/>
      <c r="BE174" s="284"/>
      <c r="BF174" s="284">
        <f t="shared" si="141"/>
        <v>67.940000000000012</v>
      </c>
      <c r="BG174" s="284">
        <f t="shared" si="157"/>
        <v>613.81571480445996</v>
      </c>
      <c r="BH174" s="284">
        <f t="shared" si="143"/>
        <v>613.81571480445996</v>
      </c>
      <c r="BI174" s="354"/>
      <c r="BJ174" s="284"/>
      <c r="BK174" s="284"/>
      <c r="BL174" s="284">
        <f t="shared" si="144"/>
        <v>67.940000000000012</v>
      </c>
      <c r="BM174" s="284">
        <f t="shared" si="158"/>
        <v>613.81571480445996</v>
      </c>
      <c r="BN174" s="284">
        <f t="shared" si="146"/>
        <v>613.81571480445996</v>
      </c>
      <c r="BO174" s="354"/>
      <c r="BP174" s="342">
        <f>AA174-0.19</f>
        <v>-13.75</v>
      </c>
      <c r="BQ174" s="284"/>
      <c r="BR174" s="284"/>
      <c r="BS174" s="299"/>
      <c r="BT174" s="284"/>
      <c r="BU174" s="284"/>
      <c r="BV174" s="299"/>
      <c r="BW174" s="284"/>
      <c r="BX174" s="284"/>
      <c r="BY174" s="299"/>
      <c r="BZ174" s="284"/>
      <c r="CA174" s="284"/>
      <c r="CB174" s="1">
        <v>920.3</v>
      </c>
      <c r="CC174" s="615">
        <v>918.1</v>
      </c>
      <c r="CD174" s="615">
        <v>923</v>
      </c>
      <c r="CE174" s="615">
        <v>915.8</v>
      </c>
    </row>
    <row r="175" spans="2:83" x14ac:dyDescent="0.25">
      <c r="B175" s="287">
        <v>45748</v>
      </c>
      <c r="C175" s="351">
        <v>30</v>
      </c>
      <c r="D175" s="278">
        <v>62.96</v>
      </c>
      <c r="E175" s="335">
        <v>1.399</v>
      </c>
      <c r="F175" s="278">
        <v>-5.3</v>
      </c>
      <c r="G175" s="278">
        <v>-0.4</v>
      </c>
      <c r="H175" s="278">
        <f t="shared" si="131"/>
        <v>57.614564687777801</v>
      </c>
      <c r="I175" s="278">
        <f t="shared" si="147"/>
        <v>507.22279099580004</v>
      </c>
      <c r="J175" s="278">
        <f t="shared" si="123"/>
        <v>507.62279099580002</v>
      </c>
      <c r="K175" s="198">
        <f t="shared" si="124"/>
        <v>0.91581956797966968</v>
      </c>
      <c r="L175" s="278">
        <f t="shared" si="155"/>
        <v>3.15</v>
      </c>
      <c r="M175" s="278">
        <v>-2.15</v>
      </c>
      <c r="N175" s="342">
        <f t="shared" si="125"/>
        <v>60.374956885472415</v>
      </c>
      <c r="O175" s="278">
        <f t="shared" si="148"/>
        <v>531.52452515530001</v>
      </c>
      <c r="P175" s="343">
        <f t="shared" si="127"/>
        <v>535.35452515530005</v>
      </c>
      <c r="Q175" s="278"/>
      <c r="R175" s="299">
        <v>0</v>
      </c>
      <c r="S175" s="278"/>
      <c r="T175" s="278">
        <f t="shared" si="149"/>
        <v>550.4525341847999</v>
      </c>
      <c r="U175" s="343">
        <f t="shared" si="129"/>
        <v>554.28253418479994</v>
      </c>
      <c r="V175" s="278"/>
      <c r="W175" s="278">
        <v>0</v>
      </c>
      <c r="X175" s="340">
        <v>-3.83</v>
      </c>
      <c r="Y175" s="333">
        <v>0.26</v>
      </c>
      <c r="Z175" s="340"/>
      <c r="AA175" s="342">
        <v>-12.28</v>
      </c>
      <c r="AB175" s="278">
        <f t="shared" si="133"/>
        <v>445.95586699985995</v>
      </c>
      <c r="AC175" s="277">
        <f t="shared" si="134"/>
        <v>50.68</v>
      </c>
      <c r="AD175" s="793">
        <v>921.8</v>
      </c>
      <c r="AE175" s="277"/>
      <c r="AF175" s="277"/>
      <c r="AG175" s="278">
        <f t="shared" si="120"/>
        <v>6.9799999999999995</v>
      </c>
      <c r="AH175" s="291"/>
      <c r="AI175" s="297"/>
      <c r="AJ175" s="198">
        <f t="shared" si="156"/>
        <v>0.66709021601016516</v>
      </c>
      <c r="AK175" s="277">
        <v>42</v>
      </c>
      <c r="AL175" s="190">
        <f t="shared" si="121"/>
        <v>369.75645546000004</v>
      </c>
      <c r="AM175" s="171">
        <v>0.52239999999999998</v>
      </c>
      <c r="AN175" s="293">
        <v>-5.97</v>
      </c>
      <c r="AO175" s="291"/>
      <c r="AP175" s="342">
        <v>0</v>
      </c>
      <c r="AQ175" s="278">
        <f t="shared" si="154"/>
        <v>5.3</v>
      </c>
      <c r="AR175" s="278">
        <v>-6.97</v>
      </c>
      <c r="AS175" s="278">
        <v>18.22</v>
      </c>
      <c r="AT175" s="278">
        <f t="shared" si="135"/>
        <v>58.059578471721323</v>
      </c>
      <c r="AU175" s="278">
        <f t="shared" si="160"/>
        <v>511.14057002870004</v>
      </c>
      <c r="AV175" s="278">
        <f t="shared" si="137"/>
        <v>492.92057002870001</v>
      </c>
      <c r="AW175" s="198"/>
      <c r="AX175" s="278">
        <v>-6.48</v>
      </c>
      <c r="AY175" s="278">
        <v>12.53</v>
      </c>
      <c r="AZ175" s="278">
        <f t="shared" si="138"/>
        <v>57.903261155360489</v>
      </c>
      <c r="BA175" s="278">
        <f t="shared" si="159"/>
        <v>509.76439534240001</v>
      </c>
      <c r="BB175" s="278">
        <f t="shared" si="140"/>
        <v>497.23439534240003</v>
      </c>
      <c r="BC175" s="198"/>
      <c r="BD175" s="278">
        <v>-12.36</v>
      </c>
      <c r="BE175" s="278">
        <v>63.07</v>
      </c>
      <c r="BF175" s="278">
        <f t="shared" si="141"/>
        <v>57.764012854635773</v>
      </c>
      <c r="BG175" s="278">
        <f t="shared" si="157"/>
        <v>508.53849157799999</v>
      </c>
      <c r="BH175" s="278">
        <f t="shared" si="143"/>
        <v>445.468491578</v>
      </c>
      <c r="BI175" s="198"/>
      <c r="BJ175" s="278">
        <v>-10.029999999999999</v>
      </c>
      <c r="BK175" s="278">
        <v>56</v>
      </c>
      <c r="BL175" s="278">
        <f t="shared" si="144"/>
        <v>59.290943711108341</v>
      </c>
      <c r="BM175" s="278">
        <f t="shared" si="158"/>
        <v>521.98117113089995</v>
      </c>
      <c r="BN175" s="278">
        <f t="shared" si="146"/>
        <v>465.98117113089995</v>
      </c>
      <c r="BO175" s="198"/>
      <c r="BP175" s="342">
        <f>AA175-0.14</f>
        <v>-12.42</v>
      </c>
      <c r="BQ175" s="284"/>
      <c r="BR175" s="284"/>
      <c r="BS175" s="342"/>
      <c r="BT175" s="278"/>
      <c r="BU175" s="278"/>
      <c r="BV175" s="299"/>
      <c r="BW175" s="284"/>
      <c r="BX175" s="284"/>
      <c r="BY175" s="342"/>
      <c r="BZ175" s="278"/>
      <c r="CA175" s="278"/>
      <c r="CB175" s="1">
        <v>921.4</v>
      </c>
      <c r="CC175" s="615">
        <v>921.5</v>
      </c>
      <c r="CD175" s="615">
        <v>923.1</v>
      </c>
      <c r="CE175" s="615">
        <v>914.8</v>
      </c>
    </row>
    <row r="176" spans="2:83" x14ac:dyDescent="0.25">
      <c r="B176" s="287">
        <v>45778</v>
      </c>
      <c r="C176" s="351">
        <v>31</v>
      </c>
      <c r="D176" s="278">
        <v>60.94</v>
      </c>
      <c r="E176" s="335">
        <v>1.3858999999999999</v>
      </c>
      <c r="F176" s="278">
        <v>-2.4700000000000002</v>
      </c>
      <c r="G176" s="278">
        <v>-0.4</v>
      </c>
      <c r="H176" s="278">
        <f t="shared" si="131"/>
        <v>58.424135217693298</v>
      </c>
      <c r="I176" s="278">
        <f t="shared" si="147"/>
        <v>509.53374052450994</v>
      </c>
      <c r="J176" s="278">
        <f t="shared" si="123"/>
        <v>509.93374052450991</v>
      </c>
      <c r="K176" s="198">
        <f t="shared" si="124"/>
        <v>0.95946832950443062</v>
      </c>
      <c r="L176" s="278">
        <f t="shared" si="155"/>
        <v>1.9900000000000002</v>
      </c>
      <c r="M176" s="278">
        <v>-0.48</v>
      </c>
      <c r="N176" s="342">
        <f t="shared" si="125"/>
        <v>60.020844709413304</v>
      </c>
      <c r="O176" s="278">
        <f t="shared" si="148"/>
        <v>523.45910470517993</v>
      </c>
      <c r="P176" s="343">
        <f t="shared" si="127"/>
        <v>527.28910470517997</v>
      </c>
      <c r="Q176" s="278"/>
      <c r="R176" s="299">
        <v>0</v>
      </c>
      <c r="S176" s="278"/>
      <c r="T176" s="278">
        <f t="shared" si="149"/>
        <v>527.64532320101989</v>
      </c>
      <c r="U176" s="343">
        <f t="shared" si="129"/>
        <v>531.47532320101993</v>
      </c>
      <c r="V176" s="278"/>
      <c r="W176" s="278">
        <v>0</v>
      </c>
      <c r="X176" s="340">
        <v>-3.83</v>
      </c>
      <c r="Y176" s="333">
        <v>0.26</v>
      </c>
      <c r="Z176" s="340"/>
      <c r="AA176" s="342">
        <v>-9.75</v>
      </c>
      <c r="AB176" s="278">
        <f t="shared" si="133"/>
        <v>446.22570616012047</v>
      </c>
      <c r="AC176" s="277">
        <f t="shared" si="134"/>
        <v>51.19</v>
      </c>
      <c r="AD176" s="793">
        <v>923.8</v>
      </c>
      <c r="AE176" s="277"/>
      <c r="AF176" s="277"/>
      <c r="AG176" s="278">
        <f t="shared" si="120"/>
        <v>7.2799999999999994</v>
      </c>
      <c r="AH176" s="291"/>
      <c r="AI176" s="297"/>
      <c r="AJ176" s="198">
        <f t="shared" si="156"/>
        <v>0.68920249425664593</v>
      </c>
      <c r="AK176" s="277">
        <v>42</v>
      </c>
      <c r="AL176" s="190">
        <f t="shared" si="121"/>
        <v>366.29411838599998</v>
      </c>
      <c r="AM176" s="171">
        <v>0.52659999999999996</v>
      </c>
      <c r="AN176" s="293">
        <v>-2.4700000000000002</v>
      </c>
      <c r="AO176" s="291"/>
      <c r="AP176" s="342">
        <v>0</v>
      </c>
      <c r="AQ176" s="278">
        <f t="shared" si="154"/>
        <v>2.4700000000000002</v>
      </c>
      <c r="AR176" s="278">
        <v>-3.75</v>
      </c>
      <c r="AS176" s="278">
        <v>18.22</v>
      </c>
      <c r="AT176" s="278">
        <f t="shared" si="135"/>
        <v>59.279140834070368</v>
      </c>
      <c r="AU176" s="278">
        <f t="shared" si="160"/>
        <v>516.99049120226994</v>
      </c>
      <c r="AV176" s="278">
        <f t="shared" si="137"/>
        <v>498.77049120226991</v>
      </c>
      <c r="AW176" s="198"/>
      <c r="AX176" s="278">
        <v>-3.25</v>
      </c>
      <c r="AY176" s="278">
        <v>12.53</v>
      </c>
      <c r="AZ176" s="278">
        <f t="shared" si="138"/>
        <v>59.12671430575751</v>
      </c>
      <c r="BA176" s="278">
        <f t="shared" si="159"/>
        <v>515.66113546877</v>
      </c>
      <c r="BB176" s="278">
        <f t="shared" si="140"/>
        <v>503.13113546877003</v>
      </c>
      <c r="BC176" s="198"/>
      <c r="BD176" s="278">
        <v>-9.83</v>
      </c>
      <c r="BE176" s="278">
        <v>63.07</v>
      </c>
      <c r="BF176" s="278">
        <f t="shared" si="141"/>
        <v>58.341729550209571</v>
      </c>
      <c r="BG176" s="278">
        <f t="shared" si="157"/>
        <v>508.81505692162995</v>
      </c>
      <c r="BH176" s="278">
        <f t="shared" si="143"/>
        <v>445.74505692162995</v>
      </c>
      <c r="BI176" s="198"/>
      <c r="BJ176" s="278">
        <v>-7.5</v>
      </c>
      <c r="BK176" s="278">
        <v>56</v>
      </c>
      <c r="BL176" s="278">
        <f t="shared" si="144"/>
        <v>59.861069522938585</v>
      </c>
      <c r="BM176" s="278">
        <f t="shared" si="158"/>
        <v>522.06565920352</v>
      </c>
      <c r="BN176" s="278">
        <f t="shared" si="146"/>
        <v>466.06565920352</v>
      </c>
      <c r="BO176" s="198"/>
      <c r="BP176" s="342">
        <f>AA176-0.19</f>
        <v>-9.94</v>
      </c>
      <c r="BQ176" s="284"/>
      <c r="BR176" s="284"/>
      <c r="BS176" s="342"/>
      <c r="BT176" s="278"/>
      <c r="BU176" s="278"/>
      <c r="BV176" s="299"/>
      <c r="BW176" s="284"/>
      <c r="BX176" s="284"/>
      <c r="BY176" s="342"/>
      <c r="BZ176" s="278"/>
      <c r="CA176" s="278"/>
      <c r="CB176" s="1">
        <v>924.3</v>
      </c>
      <c r="CC176" s="615">
        <v>924.4</v>
      </c>
      <c r="CD176" s="615">
        <v>926.2</v>
      </c>
      <c r="CE176" s="615">
        <v>916.4</v>
      </c>
    </row>
    <row r="177" spans="2:83" x14ac:dyDescent="0.25">
      <c r="B177" s="287">
        <v>45809</v>
      </c>
      <c r="C177" s="351">
        <v>30</v>
      </c>
      <c r="D177" s="284">
        <v>67.323999999999998</v>
      </c>
      <c r="E177" s="359">
        <v>1.3677999999999999</v>
      </c>
      <c r="F177" s="284">
        <v>-1.1744000000000001</v>
      </c>
      <c r="G177" s="284">
        <v>0</v>
      </c>
      <c r="H177" s="284">
        <f t="shared" si="131"/>
        <v>66.149599999999992</v>
      </c>
      <c r="I177" s="284">
        <f t="shared" si="147"/>
        <v>569.37524585886547</v>
      </c>
      <c r="J177" s="284">
        <f t="shared" si="123"/>
        <v>569.37524585886547</v>
      </c>
      <c r="K177" s="354">
        <f t="shared" si="124"/>
        <v>0.9825559978610896</v>
      </c>
      <c r="L177" s="284">
        <f t="shared" si="155"/>
        <v>3.4508000000000001</v>
      </c>
      <c r="M177" s="284">
        <v>2.2764000000000002</v>
      </c>
      <c r="N177" s="299">
        <f t="shared" si="125"/>
        <v>69.600399999999979</v>
      </c>
      <c r="O177" s="284">
        <f t="shared" si="148"/>
        <v>599.07761894063424</v>
      </c>
      <c r="P177" s="353">
        <f t="shared" si="127"/>
        <v>599.07761894063424</v>
      </c>
      <c r="Q177" s="284"/>
      <c r="R177" s="299">
        <v>0</v>
      </c>
      <c r="S177" s="284"/>
      <c r="T177" s="284">
        <f t="shared" si="149"/>
        <v>579.48376183986397</v>
      </c>
      <c r="U177" s="353">
        <f t="shared" si="129"/>
        <v>579.48376183986397</v>
      </c>
      <c r="V177" s="284"/>
      <c r="W177" s="284">
        <v>0</v>
      </c>
      <c r="X177" s="284">
        <v>0</v>
      </c>
      <c r="Y177" s="299">
        <v>0</v>
      </c>
      <c r="Z177" s="284"/>
      <c r="AA177" s="299">
        <v>-9.1000999999999994</v>
      </c>
      <c r="AB177" s="284">
        <f t="shared" si="133"/>
        <v>500.91201961754535</v>
      </c>
      <c r="AC177" s="352">
        <f t="shared" si="134"/>
        <v>58.2239</v>
      </c>
      <c r="AD177" s="793">
        <v>928</v>
      </c>
      <c r="AE177" s="352"/>
      <c r="AF177" s="352"/>
      <c r="AG177" s="284">
        <f t="shared" si="120"/>
        <v>7.9256999999999991</v>
      </c>
      <c r="AH177" s="298"/>
      <c r="AI177" s="292"/>
      <c r="AJ177" s="354">
        <f t="shared" si="156"/>
        <v>0.62384885033569015</v>
      </c>
      <c r="AK177" s="352">
        <v>42</v>
      </c>
      <c r="AL177" s="360">
        <f t="shared" si="121"/>
        <v>361.51027861199998</v>
      </c>
      <c r="AM177" s="354">
        <v>0.5151</v>
      </c>
      <c r="AN177" s="292"/>
      <c r="AO177" s="298"/>
      <c r="AP177" s="299">
        <v>0</v>
      </c>
      <c r="AQ177" s="284">
        <f t="shared" si="154"/>
        <v>1.1744000000000001</v>
      </c>
      <c r="AR177" s="284"/>
      <c r="AS177" s="284"/>
      <c r="AT177" s="284">
        <f t="shared" si="135"/>
        <v>67.323999999999984</v>
      </c>
      <c r="AU177" s="284">
        <f t="shared" si="160"/>
        <v>579.48376183986386</v>
      </c>
      <c r="AV177" s="284">
        <f t="shared" si="137"/>
        <v>579.48376183986386</v>
      </c>
      <c r="AW177" s="354"/>
      <c r="AX177" s="284"/>
      <c r="AY177" s="284"/>
      <c r="AZ177" s="284">
        <f t="shared" si="138"/>
        <v>67.323999999999984</v>
      </c>
      <c r="BA177" s="284">
        <f t="shared" si="159"/>
        <v>579.48376183986386</v>
      </c>
      <c r="BB177" s="284">
        <f t="shared" si="140"/>
        <v>579.48376183986386</v>
      </c>
      <c r="BC177" s="354"/>
      <c r="BD177" s="284"/>
      <c r="BE177" s="284"/>
      <c r="BF177" s="284">
        <f t="shared" si="141"/>
        <v>67.323999999999984</v>
      </c>
      <c r="BG177" s="284">
        <f t="shared" si="157"/>
        <v>579.48376183986386</v>
      </c>
      <c r="BH177" s="284">
        <f t="shared" si="143"/>
        <v>579.48376183986386</v>
      </c>
      <c r="BI177" s="354"/>
      <c r="BJ177" s="284"/>
      <c r="BK177" s="284"/>
      <c r="BL177" s="284">
        <f t="shared" si="144"/>
        <v>67.323999999999984</v>
      </c>
      <c r="BM177" s="284">
        <f t="shared" si="158"/>
        <v>579.48376183986386</v>
      </c>
      <c r="BN177" s="284">
        <f t="shared" si="146"/>
        <v>579.48376183986386</v>
      </c>
      <c r="BO177" s="354"/>
      <c r="BP177" s="299">
        <f>AA177-0.1197</f>
        <v>-9.2197999999999993</v>
      </c>
      <c r="BQ177" s="284"/>
      <c r="BR177" s="284"/>
      <c r="BS177" s="299"/>
      <c r="BT177" s="284"/>
      <c r="BU177" s="284"/>
      <c r="BV177" s="299"/>
      <c r="BW177" s="284"/>
      <c r="BX177" s="284"/>
      <c r="BY177" s="299"/>
      <c r="BZ177" s="284"/>
      <c r="CA177" s="284"/>
      <c r="CB177" s="25"/>
      <c r="CC177" s="615">
        <v>931</v>
      </c>
      <c r="CD177" s="615">
        <v>930.6</v>
      </c>
      <c r="CE177" s="615">
        <v>919.7</v>
      </c>
    </row>
    <row r="178" spans="2:83" x14ac:dyDescent="0.25">
      <c r="B178" s="287">
        <v>45839</v>
      </c>
      <c r="C178" s="351">
        <v>31</v>
      </c>
      <c r="D178" s="341">
        <v>64.624499999999998</v>
      </c>
      <c r="E178" s="361">
        <f>1/0.7009</f>
        <v>1.4267370523612499</v>
      </c>
      <c r="F178" s="284">
        <v>-1.2706999999999999</v>
      </c>
      <c r="G178" s="284">
        <v>0</v>
      </c>
      <c r="H178" s="278">
        <f t="shared" si="131"/>
        <v>63.3538</v>
      </c>
      <c r="I178" s="278">
        <f t="shared" si="147"/>
        <v>568.80757227279207</v>
      </c>
      <c r="J178" s="278">
        <f t="shared" si="123"/>
        <v>568.80757227279207</v>
      </c>
      <c r="K178" s="198">
        <f t="shared" si="124"/>
        <v>0.980337178624206</v>
      </c>
      <c r="L178" s="278">
        <f t="shared" si="155"/>
        <v>0.6500999999999999</v>
      </c>
      <c r="M178" s="284">
        <v>-0.62060000000000004</v>
      </c>
      <c r="N178" s="342">
        <f t="shared" si="125"/>
        <v>64.003900000000002</v>
      </c>
      <c r="O178" s="278">
        <f t="shared" si="148"/>
        <v>574.64434611642173</v>
      </c>
      <c r="P178" s="343">
        <f t="shared" si="127"/>
        <v>574.64434611642173</v>
      </c>
      <c r="Q178" s="278"/>
      <c r="R178" s="299">
        <v>0</v>
      </c>
      <c r="S178" s="278"/>
      <c r="T178" s="278">
        <f t="shared" si="149"/>
        <v>580.21626097160799</v>
      </c>
      <c r="U178" s="343">
        <f t="shared" si="129"/>
        <v>580.21626097160799</v>
      </c>
      <c r="V178" s="278"/>
      <c r="W178" s="278">
        <v>0</v>
      </c>
      <c r="X178" s="340">
        <v>0</v>
      </c>
      <c r="Y178" s="333">
        <v>0</v>
      </c>
      <c r="Z178" s="340"/>
      <c r="AA178" s="299">
        <v>-8.9298000000000002</v>
      </c>
      <c r="AB178" s="278">
        <f t="shared" si="133"/>
        <v>499.7989853821515</v>
      </c>
      <c r="AC178" s="277">
        <f t="shared" si="134"/>
        <v>55.694699999999997</v>
      </c>
      <c r="AD178" s="278"/>
      <c r="AE178" s="277"/>
      <c r="AF178" s="277"/>
      <c r="AG178" s="278">
        <f t="shared" si="120"/>
        <v>7.6591000000000005</v>
      </c>
      <c r="AH178" s="291"/>
      <c r="AI178" s="297"/>
      <c r="AJ178" s="198">
        <f t="shared" si="156"/>
        <v>0.64990831650535019</v>
      </c>
      <c r="AK178" s="277">
        <v>42</v>
      </c>
      <c r="AL178" s="190">
        <f t="shared" si="121"/>
        <v>377.08737337708664</v>
      </c>
      <c r="AM178" s="190"/>
      <c r="AN178" s="297"/>
      <c r="AO178" s="291"/>
      <c r="AP178" s="342">
        <v>0</v>
      </c>
      <c r="AQ178" s="278">
        <f t="shared" si="154"/>
        <v>1.2706999999999999</v>
      </c>
      <c r="AR178" s="278"/>
      <c r="AS178" s="278"/>
      <c r="AT178" s="278">
        <f t="shared" si="135"/>
        <v>64.624500000000012</v>
      </c>
      <c r="AU178" s="278">
        <f t="shared" si="160"/>
        <v>580.21626097160799</v>
      </c>
      <c r="AV178" s="278">
        <f t="shared" si="137"/>
        <v>580.21626097160799</v>
      </c>
      <c r="AW178" s="198"/>
      <c r="AX178" s="278"/>
      <c r="AY178" s="278"/>
      <c r="AZ178" s="278">
        <f t="shared" si="138"/>
        <v>64.624500000000012</v>
      </c>
      <c r="BA178" s="278">
        <f t="shared" si="159"/>
        <v>580.21626097160799</v>
      </c>
      <c r="BB178" s="278">
        <f t="shared" si="140"/>
        <v>580.21626097160799</v>
      </c>
      <c r="BC178" s="198"/>
      <c r="BD178" s="278"/>
      <c r="BE178" s="278"/>
      <c r="BF178" s="278">
        <f t="shared" si="141"/>
        <v>64.624500000000012</v>
      </c>
      <c r="BG178" s="278">
        <f t="shared" si="157"/>
        <v>580.21626097160799</v>
      </c>
      <c r="BH178" s="278">
        <f t="shared" si="143"/>
        <v>580.21626097160799</v>
      </c>
      <c r="BI178" s="198"/>
      <c r="BJ178" s="278"/>
      <c r="BK178" s="278"/>
      <c r="BL178" s="278">
        <f t="shared" si="144"/>
        <v>64.624500000000012</v>
      </c>
      <c r="BM178" s="278">
        <f t="shared" si="158"/>
        <v>580.21626097160799</v>
      </c>
      <c r="BN178" s="278">
        <f t="shared" si="146"/>
        <v>580.21626097160799</v>
      </c>
      <c r="BO178" s="198"/>
      <c r="BP178" s="299">
        <f>AA178-0.1747</f>
        <v>-9.1044999999999998</v>
      </c>
      <c r="BQ178" s="284"/>
      <c r="BR178" s="284"/>
      <c r="BS178" s="342"/>
      <c r="BT178" s="278"/>
      <c r="BU178" s="278"/>
      <c r="BV178" s="299"/>
      <c r="BW178" s="284"/>
      <c r="BX178" s="284"/>
      <c r="BY178" s="342"/>
      <c r="BZ178" s="278"/>
      <c r="CA178" s="278"/>
      <c r="CB178" s="25"/>
      <c r="CC178" s="615">
        <v>934.8</v>
      </c>
      <c r="CD178" s="615">
        <v>935</v>
      </c>
      <c r="CE178" s="615">
        <v>929.2</v>
      </c>
    </row>
    <row r="179" spans="2:83" x14ac:dyDescent="0.25">
      <c r="B179" s="287">
        <v>45870</v>
      </c>
      <c r="C179" s="351">
        <v>31</v>
      </c>
      <c r="D179" s="341">
        <v>63.286700000000003</v>
      </c>
      <c r="E179" s="361">
        <f>1/0.7038</f>
        <v>1.4208581983518045</v>
      </c>
      <c r="F179" s="284">
        <v>-2.0499999999999998</v>
      </c>
      <c r="G179" s="284">
        <v>0</v>
      </c>
      <c r="H179" s="278">
        <f t="shared" si="131"/>
        <v>61.236699999999999</v>
      </c>
      <c r="I179" s="278">
        <f t="shared" si="147"/>
        <v>547.53423178317701</v>
      </c>
      <c r="J179" s="278">
        <f t="shared" si="123"/>
        <v>547.53423178317701</v>
      </c>
      <c r="K179" s="198">
        <f t="shared" si="124"/>
        <v>0.96760772800604244</v>
      </c>
      <c r="L179" s="278">
        <f t="shared" ref="L179:L183" si="161">M179-F179</f>
        <v>-0.10000000000000009</v>
      </c>
      <c r="M179" s="284">
        <v>-2.15</v>
      </c>
      <c r="N179" s="342">
        <f t="shared" si="125"/>
        <v>61.136700000000005</v>
      </c>
      <c r="O179" s="278">
        <f t="shared" si="148"/>
        <v>546.64010419011083</v>
      </c>
      <c r="P179" s="343">
        <f t="shared" si="127"/>
        <v>546.64010419011083</v>
      </c>
      <c r="Q179" s="278"/>
      <c r="R179" s="299">
        <v>0</v>
      </c>
      <c r="S179" s="278"/>
      <c r="T179" s="278">
        <f t="shared" si="149"/>
        <v>565.86384744103441</v>
      </c>
      <c r="U179" s="343">
        <f t="shared" si="129"/>
        <v>565.86384744103441</v>
      </c>
      <c r="V179" s="278"/>
      <c r="W179" s="278">
        <v>0</v>
      </c>
      <c r="X179" s="340">
        <v>0</v>
      </c>
      <c r="Y179" s="333">
        <v>0</v>
      </c>
      <c r="Z179" s="340"/>
      <c r="AA179" s="299">
        <v>-9.75</v>
      </c>
      <c r="AB179" s="278">
        <f t="shared" si="133"/>
        <v>478.45367689023874</v>
      </c>
      <c r="AC179" s="277">
        <f t="shared" si="134"/>
        <v>53.536700000000003</v>
      </c>
      <c r="AD179" s="278"/>
      <c r="AE179" s="277"/>
      <c r="AF179" s="277"/>
      <c r="AG179" s="278">
        <f t="shared" si="120"/>
        <v>7.7</v>
      </c>
      <c r="AH179" s="291"/>
      <c r="AI179" s="297"/>
      <c r="AJ179" s="198">
        <f t="shared" ref="AJ179:AJ183" si="162">AK179/D179</f>
        <v>0.66364654816888857</v>
      </c>
      <c r="AK179" s="277">
        <v>42</v>
      </c>
      <c r="AL179" s="190">
        <f t="shared" si="121"/>
        <v>375.53358908780905</v>
      </c>
      <c r="AM179" s="190"/>
      <c r="AN179" s="297"/>
      <c r="AO179" s="291"/>
      <c r="AP179" s="342">
        <v>0</v>
      </c>
      <c r="AQ179" s="278">
        <f t="shared" ref="AQ179:AQ183" si="163">AP179-F179</f>
        <v>2.0499999999999998</v>
      </c>
      <c r="AR179" s="278"/>
      <c r="AS179" s="278"/>
      <c r="AT179" s="278">
        <f t="shared" si="135"/>
        <v>63.28670000000001</v>
      </c>
      <c r="AU179" s="278">
        <f t="shared" ref="AU179:AU183" si="164">(($D179+AR179)*6.29287*$E179)+AS179</f>
        <v>565.86384744103441</v>
      </c>
      <c r="AV179" s="278">
        <f t="shared" si="137"/>
        <v>565.86384744103441</v>
      </c>
      <c r="AW179" s="198"/>
      <c r="AX179" s="278"/>
      <c r="AY179" s="278"/>
      <c r="AZ179" s="278">
        <f t="shared" si="138"/>
        <v>63.28670000000001</v>
      </c>
      <c r="BA179" s="278">
        <f t="shared" ref="BA179:BA183" si="165">(($D179+AX179)*6.29287*$E179)+AY179</f>
        <v>565.86384744103441</v>
      </c>
      <c r="BB179" s="278">
        <f t="shared" si="140"/>
        <v>565.86384744103441</v>
      </c>
      <c r="BC179" s="198"/>
      <c r="BD179" s="278"/>
      <c r="BE179" s="278"/>
      <c r="BF179" s="278">
        <f t="shared" si="141"/>
        <v>63.28670000000001</v>
      </c>
      <c r="BG179" s="278">
        <f t="shared" ref="BG179:BG183" si="166">(($D179+BD179)*6.29287*$E179)+BE179</f>
        <v>565.86384744103441</v>
      </c>
      <c r="BH179" s="278">
        <f t="shared" si="143"/>
        <v>565.86384744103441</v>
      </c>
      <c r="BI179" s="198"/>
      <c r="BJ179" s="278"/>
      <c r="BK179" s="278"/>
      <c r="BL179" s="278">
        <f t="shared" si="144"/>
        <v>63.28670000000001</v>
      </c>
      <c r="BM179" s="278">
        <f t="shared" ref="BM179:BM183" si="167">(($D179+BJ179)*6.29287*$E179)+BK179</f>
        <v>565.86384744103441</v>
      </c>
      <c r="BN179" s="278">
        <f t="shared" si="146"/>
        <v>565.86384744103441</v>
      </c>
      <c r="BO179" s="198"/>
      <c r="BP179" s="299">
        <f t="shared" ref="BP178:BP183" si="168">AA179-0.12</f>
        <v>-9.8699999999999992</v>
      </c>
      <c r="BQ179" s="284"/>
      <c r="BR179" s="284"/>
      <c r="BS179" s="342"/>
      <c r="BT179" s="278"/>
      <c r="BU179" s="278"/>
      <c r="BV179" s="299"/>
      <c r="BW179" s="284"/>
      <c r="BX179" s="284"/>
      <c r="BY179" s="342"/>
      <c r="BZ179" s="278"/>
      <c r="CA179" s="278"/>
      <c r="CB179" s="25"/>
      <c r="CC179" s="615">
        <v>930.9</v>
      </c>
      <c r="CD179" s="615">
        <v>931</v>
      </c>
      <c r="CE179" s="615">
        <v>925.3</v>
      </c>
    </row>
    <row r="180" spans="2:83" x14ac:dyDescent="0.25">
      <c r="B180" s="287">
        <v>45901</v>
      </c>
      <c r="C180" s="351">
        <v>30</v>
      </c>
      <c r="D180" s="341">
        <v>62.32</v>
      </c>
      <c r="E180" s="361">
        <f>1/0.7038</f>
        <v>1.4208581983518045</v>
      </c>
      <c r="F180" s="284">
        <v>-2.4</v>
      </c>
      <c r="G180" s="284">
        <v>0</v>
      </c>
      <c r="H180" s="278">
        <f t="shared" si="131"/>
        <v>59.92</v>
      </c>
      <c r="I180" s="278">
        <f t="shared" si="147"/>
        <v>535.7612537652742</v>
      </c>
      <c r="J180" s="278">
        <f t="shared" si="123"/>
        <v>535.7612537652742</v>
      </c>
      <c r="K180" s="198">
        <f t="shared" si="124"/>
        <v>0.9614890885750963</v>
      </c>
      <c r="L180" s="278">
        <f t="shared" si="161"/>
        <v>0.95</v>
      </c>
      <c r="M180" s="284">
        <v>-1.45</v>
      </c>
      <c r="N180" s="342">
        <f t="shared" si="125"/>
        <v>60.870000000000005</v>
      </c>
      <c r="O180" s="278">
        <f t="shared" si="148"/>
        <v>544.25546589940325</v>
      </c>
      <c r="P180" s="343">
        <f t="shared" si="127"/>
        <v>544.25546589940325</v>
      </c>
      <c r="Q180" s="278"/>
      <c r="R180" s="299">
        <v>0</v>
      </c>
      <c r="S180" s="278"/>
      <c r="T180" s="278">
        <f t="shared" si="149"/>
        <v>557.22031599886327</v>
      </c>
      <c r="U180" s="343">
        <f t="shared" si="129"/>
        <v>557.22031599886327</v>
      </c>
      <c r="V180" s="278"/>
      <c r="W180" s="278">
        <v>0</v>
      </c>
      <c r="X180" s="340">
        <v>0</v>
      </c>
      <c r="Y180" s="333">
        <v>0</v>
      </c>
      <c r="Z180" s="340"/>
      <c r="AA180" s="299">
        <v>-11</v>
      </c>
      <c r="AB180" s="278">
        <f t="shared" si="133"/>
        <v>458.6431867860187</v>
      </c>
      <c r="AC180" s="277">
        <f t="shared" si="134"/>
        <v>51.32</v>
      </c>
      <c r="AD180" s="278"/>
      <c r="AE180" s="277"/>
      <c r="AF180" s="277"/>
      <c r="AG180" s="278">
        <f t="shared" ref="AG180:AG183" si="169">F180-AA180</f>
        <v>8.6</v>
      </c>
      <c r="AH180" s="291"/>
      <c r="AI180" s="297"/>
      <c r="AJ180" s="198">
        <f t="shared" si="162"/>
        <v>0.6739409499358151</v>
      </c>
      <c r="AK180" s="277">
        <v>42</v>
      </c>
      <c r="AL180" s="190">
        <f t="shared" si="121"/>
        <v>375.53358908780905</v>
      </c>
      <c r="AM180" s="190"/>
      <c r="AN180" s="297"/>
      <c r="AO180" s="291"/>
      <c r="AP180" s="342">
        <v>0</v>
      </c>
      <c r="AQ180" s="278">
        <f t="shared" si="163"/>
        <v>2.4</v>
      </c>
      <c r="AR180" s="278"/>
      <c r="AS180" s="278"/>
      <c r="AT180" s="278">
        <f t="shared" si="135"/>
        <v>62.320000000000014</v>
      </c>
      <c r="AU180" s="278">
        <f t="shared" si="164"/>
        <v>557.22031599886338</v>
      </c>
      <c r="AV180" s="278">
        <f t="shared" si="137"/>
        <v>557.22031599886338</v>
      </c>
      <c r="AW180" s="198"/>
      <c r="AX180" s="278"/>
      <c r="AY180" s="278"/>
      <c r="AZ180" s="278">
        <f t="shared" si="138"/>
        <v>62.320000000000014</v>
      </c>
      <c r="BA180" s="278">
        <f t="shared" si="165"/>
        <v>557.22031599886338</v>
      </c>
      <c r="BB180" s="278">
        <f t="shared" si="140"/>
        <v>557.22031599886338</v>
      </c>
      <c r="BC180" s="198"/>
      <c r="BD180" s="278"/>
      <c r="BE180" s="278"/>
      <c r="BF180" s="278">
        <f t="shared" si="141"/>
        <v>62.320000000000014</v>
      </c>
      <c r="BG180" s="278">
        <f t="shared" si="166"/>
        <v>557.22031599886338</v>
      </c>
      <c r="BH180" s="278">
        <f t="shared" si="143"/>
        <v>557.22031599886338</v>
      </c>
      <c r="BI180" s="198"/>
      <c r="BJ180" s="278"/>
      <c r="BK180" s="278"/>
      <c r="BL180" s="278">
        <f t="shared" si="144"/>
        <v>62.320000000000014</v>
      </c>
      <c r="BM180" s="278">
        <f t="shared" si="167"/>
        <v>557.22031599886338</v>
      </c>
      <c r="BN180" s="278">
        <f t="shared" si="146"/>
        <v>557.22031599886338</v>
      </c>
      <c r="BO180" s="198"/>
      <c r="BP180" s="299">
        <f t="shared" si="168"/>
        <v>-11.12</v>
      </c>
      <c r="BQ180" s="284"/>
      <c r="BR180" s="284"/>
      <c r="BS180" s="342"/>
      <c r="BT180" s="278"/>
      <c r="BU180" s="278"/>
      <c r="BV180" s="299"/>
      <c r="BW180" s="284"/>
      <c r="BX180" s="284"/>
      <c r="BY180" s="342"/>
      <c r="BZ180" s="278"/>
      <c r="CA180" s="278"/>
      <c r="CB180" s="25"/>
      <c r="CC180" s="615">
        <v>927.8</v>
      </c>
      <c r="CD180" s="615">
        <v>928</v>
      </c>
      <c r="CE180" s="615">
        <v>921.6</v>
      </c>
    </row>
    <row r="181" spans="2:83" x14ac:dyDescent="0.25">
      <c r="B181" s="287">
        <v>45931</v>
      </c>
      <c r="C181" s="351">
        <v>31</v>
      </c>
      <c r="D181" s="341">
        <v>61.670400000000001</v>
      </c>
      <c r="E181" s="361">
        <f t="shared" ref="E181:E182" si="170">1/0.7038</f>
        <v>1.4208581983518045</v>
      </c>
      <c r="F181" s="284">
        <v>0</v>
      </c>
      <c r="G181" s="284">
        <v>0</v>
      </c>
      <c r="H181" s="278">
        <f t="shared" si="131"/>
        <v>61.670400000000008</v>
      </c>
      <c r="I181" s="278">
        <f t="shared" si="147"/>
        <v>551.4120631543052</v>
      </c>
      <c r="J181" s="278">
        <f t="shared" si="123"/>
        <v>551.4120631543052</v>
      </c>
      <c r="K181" s="198">
        <f t="shared" si="124"/>
        <v>1</v>
      </c>
      <c r="L181" s="278">
        <f t="shared" si="161"/>
        <v>0</v>
      </c>
      <c r="M181" s="284">
        <v>0</v>
      </c>
      <c r="N181" s="342">
        <f t="shared" si="125"/>
        <v>61.670400000000008</v>
      </c>
      <c r="O181" s="278">
        <f t="shared" si="148"/>
        <v>551.4120631543052</v>
      </c>
      <c r="P181" s="343">
        <f t="shared" si="127"/>
        <v>551.4120631543052</v>
      </c>
      <c r="Q181" s="278"/>
      <c r="R181" s="299">
        <v>0</v>
      </c>
      <c r="S181" s="278"/>
      <c r="T181" s="278">
        <f t="shared" si="149"/>
        <v>551.4120631543052</v>
      </c>
      <c r="U181" s="343">
        <f t="shared" si="129"/>
        <v>551.4120631543052</v>
      </c>
      <c r="V181" s="278"/>
      <c r="W181" s="278">
        <v>0</v>
      </c>
      <c r="X181" s="340">
        <v>0</v>
      </c>
      <c r="Y181" s="333">
        <v>0</v>
      </c>
      <c r="Z181" s="340"/>
      <c r="AA181" s="299">
        <v>-11</v>
      </c>
      <c r="AB181" s="278">
        <f t="shared" si="133"/>
        <v>452.83775782779196</v>
      </c>
      <c r="AC181" s="277">
        <f t="shared" si="134"/>
        <v>50.670400000000001</v>
      </c>
      <c r="AD181" s="278"/>
      <c r="AE181" s="277"/>
      <c r="AF181" s="277"/>
      <c r="AG181" s="278">
        <f t="shared" si="169"/>
        <v>11</v>
      </c>
      <c r="AH181" s="291"/>
      <c r="AI181" s="297"/>
      <c r="AJ181" s="198">
        <f t="shared" si="162"/>
        <v>0.68103985056039851</v>
      </c>
      <c r="AK181" s="277">
        <v>42</v>
      </c>
      <c r="AL181" s="190">
        <f t="shared" si="121"/>
        <v>375.53358908780905</v>
      </c>
      <c r="AM181" s="190"/>
      <c r="AN181" s="297"/>
      <c r="AO181" s="291"/>
      <c r="AP181" s="342">
        <v>0</v>
      </c>
      <c r="AQ181" s="278">
        <f t="shared" si="163"/>
        <v>0</v>
      </c>
      <c r="AR181" s="278"/>
      <c r="AS181" s="278"/>
      <c r="AT181" s="278">
        <f t="shared" si="135"/>
        <v>61.670400000000008</v>
      </c>
      <c r="AU181" s="278">
        <f t="shared" si="164"/>
        <v>551.4120631543052</v>
      </c>
      <c r="AV181" s="278">
        <f t="shared" si="137"/>
        <v>551.4120631543052</v>
      </c>
      <c r="AW181" s="198"/>
      <c r="AX181" s="278"/>
      <c r="AY181" s="278"/>
      <c r="AZ181" s="278">
        <f t="shared" si="138"/>
        <v>61.670400000000008</v>
      </c>
      <c r="BA181" s="278">
        <f t="shared" si="165"/>
        <v>551.4120631543052</v>
      </c>
      <c r="BB181" s="278">
        <f t="shared" si="140"/>
        <v>551.4120631543052</v>
      </c>
      <c r="BC181" s="198"/>
      <c r="BD181" s="278"/>
      <c r="BE181" s="278"/>
      <c r="BF181" s="278">
        <f t="shared" si="141"/>
        <v>61.670400000000008</v>
      </c>
      <c r="BG181" s="278">
        <f t="shared" si="166"/>
        <v>551.4120631543052</v>
      </c>
      <c r="BH181" s="278">
        <f t="shared" si="143"/>
        <v>551.4120631543052</v>
      </c>
      <c r="BI181" s="198"/>
      <c r="BJ181" s="278"/>
      <c r="BK181" s="278"/>
      <c r="BL181" s="278">
        <f t="shared" si="144"/>
        <v>61.670400000000008</v>
      </c>
      <c r="BM181" s="278">
        <f t="shared" si="167"/>
        <v>551.4120631543052</v>
      </c>
      <c r="BN181" s="278">
        <f t="shared" si="146"/>
        <v>551.4120631543052</v>
      </c>
      <c r="BO181" s="198"/>
      <c r="BP181" s="299">
        <f t="shared" si="168"/>
        <v>-11.12</v>
      </c>
      <c r="BQ181" s="284"/>
      <c r="BR181" s="284"/>
      <c r="BS181" s="342"/>
      <c r="BT181" s="278"/>
      <c r="BU181" s="278"/>
      <c r="BV181" s="299"/>
      <c r="BW181" s="284"/>
      <c r="BX181" s="284"/>
      <c r="BY181" s="342"/>
      <c r="BZ181" s="278"/>
      <c r="CA181" s="278"/>
    </row>
    <row r="182" spans="2:83" x14ac:dyDescent="0.25">
      <c r="B182" s="287">
        <v>45962</v>
      </c>
      <c r="C182" s="351">
        <v>30</v>
      </c>
      <c r="D182" s="341">
        <v>61.334699999999998</v>
      </c>
      <c r="E182" s="361">
        <f t="shared" si="170"/>
        <v>1.4208581983518045</v>
      </c>
      <c r="F182" s="284">
        <v>0</v>
      </c>
      <c r="G182" s="284">
        <v>0</v>
      </c>
      <c r="H182" s="278">
        <f t="shared" si="131"/>
        <v>61.334700000000005</v>
      </c>
      <c r="I182" s="278">
        <f t="shared" si="147"/>
        <v>548.41047682438193</v>
      </c>
      <c r="J182" s="278">
        <f t="shared" si="123"/>
        <v>548.41047682438193</v>
      </c>
      <c r="K182" s="198">
        <f t="shared" si="124"/>
        <v>1</v>
      </c>
      <c r="L182" s="278">
        <f t="shared" si="161"/>
        <v>0</v>
      </c>
      <c r="M182" s="284">
        <v>0</v>
      </c>
      <c r="N182" s="342">
        <f t="shared" si="125"/>
        <v>61.334700000000005</v>
      </c>
      <c r="O182" s="278">
        <f t="shared" si="148"/>
        <v>548.41047682438193</v>
      </c>
      <c r="P182" s="343">
        <f t="shared" si="127"/>
        <v>548.41047682438193</v>
      </c>
      <c r="Q182" s="278"/>
      <c r="R182" s="299">
        <v>0</v>
      </c>
      <c r="S182" s="278"/>
      <c r="T182" s="278">
        <f t="shared" si="149"/>
        <v>548.41047682438193</v>
      </c>
      <c r="U182" s="343">
        <f t="shared" si="129"/>
        <v>548.41047682438193</v>
      </c>
      <c r="V182" s="278"/>
      <c r="W182" s="278">
        <v>0</v>
      </c>
      <c r="X182" s="340">
        <v>0</v>
      </c>
      <c r="Y182" s="333">
        <v>0</v>
      </c>
      <c r="Z182" s="340"/>
      <c r="AA182" s="352">
        <v>-11</v>
      </c>
      <c r="AB182" s="278">
        <f t="shared" si="133"/>
        <v>449.83763082459501</v>
      </c>
      <c r="AC182" s="277">
        <f t="shared" si="134"/>
        <v>50.334699999999998</v>
      </c>
      <c r="AD182" s="278"/>
      <c r="AE182" s="277"/>
      <c r="AF182" s="277"/>
      <c r="AG182" s="278">
        <f t="shared" si="169"/>
        <v>11</v>
      </c>
      <c r="AH182" s="291"/>
      <c r="AI182" s="297"/>
      <c r="AJ182" s="198">
        <f t="shared" si="162"/>
        <v>0.68476735029273805</v>
      </c>
      <c r="AK182" s="277">
        <v>42</v>
      </c>
      <c r="AL182" s="190">
        <f t="shared" si="121"/>
        <v>375.53358908780905</v>
      </c>
      <c r="AM182" s="190"/>
      <c r="AN182" s="297"/>
      <c r="AO182" s="291"/>
      <c r="AP182" s="342">
        <v>0</v>
      </c>
      <c r="AQ182" s="278">
        <f t="shared" si="163"/>
        <v>0</v>
      </c>
      <c r="AR182" s="278"/>
      <c r="AS182" s="278"/>
      <c r="AT182" s="278">
        <f t="shared" si="135"/>
        <v>61.334700000000005</v>
      </c>
      <c r="AU182" s="278">
        <f t="shared" si="164"/>
        <v>548.41047682438193</v>
      </c>
      <c r="AV182" s="278">
        <f t="shared" si="137"/>
        <v>548.41047682438193</v>
      </c>
      <c r="AW182" s="198"/>
      <c r="AX182" s="278"/>
      <c r="AY182" s="278"/>
      <c r="AZ182" s="278">
        <f t="shared" si="138"/>
        <v>61.334700000000005</v>
      </c>
      <c r="BA182" s="278">
        <f t="shared" si="165"/>
        <v>548.41047682438193</v>
      </c>
      <c r="BB182" s="278">
        <f t="shared" si="140"/>
        <v>548.41047682438193</v>
      </c>
      <c r="BC182" s="198"/>
      <c r="BD182" s="278"/>
      <c r="BE182" s="278"/>
      <c r="BF182" s="278">
        <f t="shared" si="141"/>
        <v>61.334700000000005</v>
      </c>
      <c r="BG182" s="278">
        <f t="shared" si="166"/>
        <v>548.41047682438193</v>
      </c>
      <c r="BH182" s="278">
        <f t="shared" si="143"/>
        <v>548.41047682438193</v>
      </c>
      <c r="BI182" s="198"/>
      <c r="BJ182" s="278"/>
      <c r="BK182" s="278"/>
      <c r="BL182" s="278">
        <f t="shared" si="144"/>
        <v>61.334700000000005</v>
      </c>
      <c r="BM182" s="278">
        <f t="shared" si="167"/>
        <v>548.41047682438193</v>
      </c>
      <c r="BN182" s="278">
        <f t="shared" si="146"/>
        <v>548.41047682438193</v>
      </c>
      <c r="BO182" s="198"/>
      <c r="BP182" s="352">
        <f t="shared" si="168"/>
        <v>-11.12</v>
      </c>
      <c r="BQ182" s="284"/>
      <c r="BR182" s="284"/>
      <c r="BS182" s="277"/>
      <c r="BT182" s="278"/>
      <c r="BU182" s="278"/>
      <c r="BV182" s="352"/>
      <c r="BW182" s="284"/>
      <c r="BX182" s="284"/>
      <c r="BY182" s="277"/>
      <c r="BZ182" s="278"/>
      <c r="CA182" s="278"/>
    </row>
    <row r="183" spans="2:83" x14ac:dyDescent="0.25">
      <c r="B183" s="300">
        <v>45992</v>
      </c>
      <c r="C183" s="355">
        <v>31</v>
      </c>
      <c r="D183" s="347">
        <v>60</v>
      </c>
      <c r="E183" s="362">
        <f>1/0.70595</f>
        <v>1.4165309157872372</v>
      </c>
      <c r="F183" s="311">
        <v>0</v>
      </c>
      <c r="G183" s="311">
        <v>0</v>
      </c>
      <c r="H183" s="312">
        <f t="shared" si="131"/>
        <v>59.999999999999993</v>
      </c>
      <c r="I183" s="312">
        <f t="shared" si="147"/>
        <v>534.84269424180184</v>
      </c>
      <c r="J183" s="312">
        <f t="shared" si="123"/>
        <v>534.84269424180184</v>
      </c>
      <c r="K183" s="236">
        <f t="shared" si="124"/>
        <v>1</v>
      </c>
      <c r="L183" s="312">
        <f t="shared" si="161"/>
        <v>0</v>
      </c>
      <c r="M183" s="311">
        <v>0</v>
      </c>
      <c r="N183" s="344">
        <f t="shared" si="125"/>
        <v>59.999999999999993</v>
      </c>
      <c r="O183" s="312">
        <f t="shared" si="148"/>
        <v>534.84269424180184</v>
      </c>
      <c r="P183" s="345">
        <f t="shared" si="127"/>
        <v>534.84269424180184</v>
      </c>
      <c r="Q183" s="312"/>
      <c r="R183" s="314">
        <v>0</v>
      </c>
      <c r="S183" s="312"/>
      <c r="T183" s="312">
        <f t="shared" si="149"/>
        <v>534.84269424180184</v>
      </c>
      <c r="U183" s="345">
        <f t="shared" si="129"/>
        <v>534.84269424180184</v>
      </c>
      <c r="V183" s="312"/>
      <c r="W183" s="312">
        <v>0</v>
      </c>
      <c r="X183" s="346">
        <v>0</v>
      </c>
      <c r="Y183" s="307">
        <v>0</v>
      </c>
      <c r="Z183" s="346"/>
      <c r="AA183" s="314">
        <v>-11</v>
      </c>
      <c r="AB183" s="312">
        <f t="shared" si="133"/>
        <v>436.57584035696584</v>
      </c>
      <c r="AC183" s="344">
        <f t="shared" si="134"/>
        <v>49</v>
      </c>
      <c r="AD183" s="312"/>
      <c r="AE183" s="344"/>
      <c r="AF183" s="344"/>
      <c r="AG183" s="312">
        <f t="shared" si="169"/>
        <v>11</v>
      </c>
      <c r="AH183" s="304"/>
      <c r="AI183" s="309"/>
      <c r="AJ183" s="236">
        <f t="shared" si="162"/>
        <v>0.7</v>
      </c>
      <c r="AK183" s="344">
        <v>42</v>
      </c>
      <c r="AL183" s="228">
        <f t="shared" si="121"/>
        <v>374.38988596926134</v>
      </c>
      <c r="AM183" s="228"/>
      <c r="AN183" s="309"/>
      <c r="AO183" s="304"/>
      <c r="AP183" s="344">
        <v>0</v>
      </c>
      <c r="AQ183" s="312">
        <f t="shared" si="163"/>
        <v>0</v>
      </c>
      <c r="AR183" s="312"/>
      <c r="AS183" s="312"/>
      <c r="AT183" s="312">
        <f t="shared" si="135"/>
        <v>60.000000000000007</v>
      </c>
      <c r="AU183" s="312">
        <f t="shared" si="164"/>
        <v>534.84269424180195</v>
      </c>
      <c r="AV183" s="312">
        <f t="shared" si="137"/>
        <v>534.84269424180195</v>
      </c>
      <c r="AW183" s="236"/>
      <c r="AX183" s="312"/>
      <c r="AY183" s="312"/>
      <c r="AZ183" s="312">
        <f t="shared" si="138"/>
        <v>60.000000000000007</v>
      </c>
      <c r="BA183" s="312">
        <f t="shared" si="165"/>
        <v>534.84269424180195</v>
      </c>
      <c r="BB183" s="312">
        <f t="shared" si="140"/>
        <v>534.84269424180195</v>
      </c>
      <c r="BC183" s="236"/>
      <c r="BD183" s="312"/>
      <c r="BE183" s="312"/>
      <c r="BF183" s="312">
        <f t="shared" si="141"/>
        <v>60.000000000000007</v>
      </c>
      <c r="BG183" s="312">
        <f t="shared" si="166"/>
        <v>534.84269424180195</v>
      </c>
      <c r="BH183" s="312">
        <f t="shared" si="143"/>
        <v>534.84269424180195</v>
      </c>
      <c r="BI183" s="236"/>
      <c r="BJ183" s="312"/>
      <c r="BK183" s="312"/>
      <c r="BL183" s="312">
        <f t="shared" si="144"/>
        <v>60.000000000000007</v>
      </c>
      <c r="BM183" s="312">
        <f t="shared" si="167"/>
        <v>534.84269424180195</v>
      </c>
      <c r="BN183" s="312">
        <f t="shared" si="146"/>
        <v>534.84269424180195</v>
      </c>
      <c r="BO183" s="236"/>
      <c r="BP183" s="314">
        <f t="shared" si="168"/>
        <v>-11.12</v>
      </c>
      <c r="BQ183" s="311"/>
      <c r="BR183" s="311"/>
      <c r="BS183" s="344"/>
      <c r="BT183" s="312"/>
      <c r="BU183" s="312"/>
      <c r="BV183" s="314"/>
      <c r="BW183" s="311"/>
      <c r="BX183" s="311"/>
      <c r="BY183" s="344"/>
      <c r="BZ183" s="312"/>
      <c r="CA183" s="31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</vt:lpstr>
      <vt:lpstr>Spur-Netback</vt:lpstr>
      <vt:lpstr>NipNorthTT Novacor Rainbow</vt:lpstr>
      <vt:lpstr>UtikuNorthTT DilFee Nipisi</vt:lpstr>
      <vt:lpstr>UtikuSouthTT DilFee Nipisi</vt:lpstr>
      <vt:lpstr>KingMH-Plains Novacor Rainbow</vt:lpstr>
      <vt:lpstr>KINGMitsueTT Dil Fee Nipisi</vt:lpstr>
      <vt:lpstr>Gibsons Novacor Edm</vt:lpstr>
      <vt:lpstr>FlintHills Novacor Hardisty</vt:lpstr>
      <vt:lpstr>MonthlyData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Sully</dc:creator>
  <cp:lastModifiedBy>Ryan Sully</cp:lastModifiedBy>
  <cp:lastPrinted>2025-04-10T22:03:08Z</cp:lastPrinted>
  <dcterms:created xsi:type="dcterms:W3CDTF">2025-01-28T21:25:34Z</dcterms:created>
  <dcterms:modified xsi:type="dcterms:W3CDTF">2025-07-09T19:43:11Z</dcterms:modified>
</cp:coreProperties>
</file>